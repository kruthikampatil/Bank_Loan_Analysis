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Data Analyst Projects\Bank_Loan_Analysis_Project 5\Excel\"/>
    </mc:Choice>
  </mc:AlternateContent>
  <xr:revisionPtr revIDLastSave="0" documentId="13_ncr:1_{FCCA4185-00E5-4FBC-916D-CDFD6D3D5397}" xr6:coauthVersionLast="47" xr6:coauthVersionMax="47" xr10:uidLastSave="{00000000-0000-0000-0000-000000000000}"/>
  <bookViews>
    <workbookView xWindow="-110" yWindow="-110" windowWidth="19420" windowHeight="11500" firstSheet="1" activeTab="3" xr2:uid="{FC3B5718-8912-482B-8BF5-72FFDFC74BD3}"/>
  </bookViews>
  <sheets>
    <sheet name="Loan Amount Trend Analysis" sheetId="2" r:id="rId1"/>
    <sheet name="Bank_Loan_Analysis_Dataset.xlsx" sheetId="1" r:id="rId2"/>
    <sheet name="Review or Eligible" sheetId="3" r:id="rId3"/>
    <sheet name="Income Category" sheetId="4" r:id="rId4"/>
    <sheet name="Dashboard" sheetId="6" r:id="rId5"/>
  </sheets>
  <definedNames>
    <definedName name="Slicer_Loan_Status">#N/A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7" i="4" l="1"/>
  <c r="K2" i="4"/>
  <c r="K3" i="4"/>
  <c r="K4" i="4"/>
  <c r="K5" i="4"/>
  <c r="K6"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C9" i="6"/>
  <c r="C8" i="6"/>
  <c r="C7" i="6"/>
  <c r="C6" i="6"/>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alcChain>
</file>

<file path=xl/sharedStrings.xml><?xml version="1.0" encoding="utf-8"?>
<sst xmlns="http://schemas.openxmlformats.org/spreadsheetml/2006/main" count="9068" uniqueCount="540">
  <si>
    <t>Customer_ID</t>
  </si>
  <si>
    <t>Customer_Name</t>
  </si>
  <si>
    <t>Gender</t>
  </si>
  <si>
    <t>Education</t>
  </si>
  <si>
    <t>Income</t>
  </si>
  <si>
    <t>Loan_Amount</t>
  </si>
  <si>
    <t>Loan_Status</t>
  </si>
  <si>
    <t>Region</t>
  </si>
  <si>
    <t>Credit_Score</t>
  </si>
  <si>
    <t>Employment_Type</t>
  </si>
  <si>
    <t>Mrs. Molly Jones MD</t>
  </si>
  <si>
    <t>Male</t>
  </si>
  <si>
    <t>High School</t>
  </si>
  <si>
    <t>Approved</t>
  </si>
  <si>
    <t>South</t>
  </si>
  <si>
    <t>Salaried</t>
  </si>
  <si>
    <t>Dr. Luis Adams</t>
  </si>
  <si>
    <t>Female</t>
  </si>
  <si>
    <t>Post Graduate</t>
  </si>
  <si>
    <t>North</t>
  </si>
  <si>
    <t>Patricia Nielsen</t>
  </si>
  <si>
    <t>Graduate</t>
  </si>
  <si>
    <t>Rejected</t>
  </si>
  <si>
    <t>East</t>
  </si>
  <si>
    <t>Business</t>
  </si>
  <si>
    <t>Audrey Russell</t>
  </si>
  <si>
    <t>West</t>
  </si>
  <si>
    <t>Dr. Eric Berry</t>
  </si>
  <si>
    <t>Lindsey Day</t>
  </si>
  <si>
    <t>Anne Meadows</t>
  </si>
  <si>
    <t>Bailey Brown</t>
  </si>
  <si>
    <t>Laura Tucker</t>
  </si>
  <si>
    <t>Self-Employed</t>
  </si>
  <si>
    <t>Nancy Dillon</t>
  </si>
  <si>
    <t>Monique Wyatt</t>
  </si>
  <si>
    <t>Margaret Carter</t>
  </si>
  <si>
    <t>Laura Parker</t>
  </si>
  <si>
    <t>Lisa Bates</t>
  </si>
  <si>
    <t>Jordan Velasquez</t>
  </si>
  <si>
    <t>Joshua Thomas</t>
  </si>
  <si>
    <t>Alicia Smith</t>
  </si>
  <si>
    <t>Nathan Brooks</t>
  </si>
  <si>
    <t>Richard Young</t>
  </si>
  <si>
    <t>Dustin Gallegos</t>
  </si>
  <si>
    <t>Cassie Stewart</t>
  </si>
  <si>
    <t>Daniel Cain</t>
  </si>
  <si>
    <t>Steven Mccall</t>
  </si>
  <si>
    <t>Martha Harrison</t>
  </si>
  <si>
    <t>Angela Wright</t>
  </si>
  <si>
    <t>Rhonda Brown</t>
  </si>
  <si>
    <t>William Turner</t>
  </si>
  <si>
    <t>Patricia Ho</t>
  </si>
  <si>
    <t>Julie Gonzalez</t>
  </si>
  <si>
    <t>Ronald Hall</t>
  </si>
  <si>
    <t>Breanna Howard</t>
  </si>
  <si>
    <t>Jennifer Thomas</t>
  </si>
  <si>
    <t>Lawrence Mason</t>
  </si>
  <si>
    <t>Melissa Harvey</t>
  </si>
  <si>
    <t>Samantha Taylor</t>
  </si>
  <si>
    <t>Kyle Jones</t>
  </si>
  <si>
    <t>Marcus Garcia</t>
  </si>
  <si>
    <t>Lauren Clarke</t>
  </si>
  <si>
    <t>David Lozano</t>
  </si>
  <si>
    <t>Cindy Martin</t>
  </si>
  <si>
    <t>Bailey Osborn</t>
  </si>
  <si>
    <t>Julie Simmons</t>
  </si>
  <si>
    <t>Roger Nguyen</t>
  </si>
  <si>
    <t>Brian Richardson</t>
  </si>
  <si>
    <t>John Caldwell</t>
  </si>
  <si>
    <t>Mr. James Little</t>
  </si>
  <si>
    <t>Stephen Wilson</t>
  </si>
  <si>
    <t>Jessica Richards</t>
  </si>
  <si>
    <t>Shane Hernandez</t>
  </si>
  <si>
    <t>Nichole Spears</t>
  </si>
  <si>
    <t>Donald Wilson</t>
  </si>
  <si>
    <t>Phillip Davidson</t>
  </si>
  <si>
    <t>Cody Hanna</t>
  </si>
  <si>
    <t>Cynthia Wong</t>
  </si>
  <si>
    <t>Brittany Clarke</t>
  </si>
  <si>
    <t>Elizabeth Lee</t>
  </si>
  <si>
    <t>Robert Dunn</t>
  </si>
  <si>
    <t>Adam Warren</t>
  </si>
  <si>
    <t>Beth Castillo</t>
  </si>
  <si>
    <t>Michael Dickerson</t>
  </si>
  <si>
    <t>Emily Moore</t>
  </si>
  <si>
    <t>Adam Moore</t>
  </si>
  <si>
    <t>Nicholas Fowler</t>
  </si>
  <si>
    <t>Kimberly Osborn</t>
  </si>
  <si>
    <t>Tony Carpenter</t>
  </si>
  <si>
    <t>Susan Lee</t>
  </si>
  <si>
    <t>Christine Williams</t>
  </si>
  <si>
    <t>Daniel Hill</t>
  </si>
  <si>
    <t>Cindy Ramirez</t>
  </si>
  <si>
    <t>Christopher Simmons</t>
  </si>
  <si>
    <t>Guy Ray</t>
  </si>
  <si>
    <t>Alison Cole</t>
  </si>
  <si>
    <t>Dr. Kelly Davies</t>
  </si>
  <si>
    <t>Calvin Short</t>
  </si>
  <si>
    <t>Antonio Thomas</t>
  </si>
  <si>
    <t>Karla Calhoun</t>
  </si>
  <si>
    <t>Bradley Webster</t>
  </si>
  <si>
    <t>April Holder</t>
  </si>
  <si>
    <t>Anna Aguilar</t>
  </si>
  <si>
    <t>Jermaine Ward</t>
  </si>
  <si>
    <t>Andrea Cooper</t>
  </si>
  <si>
    <t>Charles Ferguson</t>
  </si>
  <si>
    <t>Joseph Crawford</t>
  </si>
  <si>
    <t>Justin Lambert</t>
  </si>
  <si>
    <t>Christopher Davies</t>
  </si>
  <si>
    <t>Kristy Eaton</t>
  </si>
  <si>
    <t>Victoria Scott</t>
  </si>
  <si>
    <t>Robert Phillips</t>
  </si>
  <si>
    <t>Jessica Hunt</t>
  </si>
  <si>
    <t>Vicki Adams</t>
  </si>
  <si>
    <t>Philip Johnson</t>
  </si>
  <si>
    <t>Mary Martin</t>
  </si>
  <si>
    <t>Shane Martinez</t>
  </si>
  <si>
    <t>Mark Christensen</t>
  </si>
  <si>
    <t>Annette Bennett</t>
  </si>
  <si>
    <t>Ashley Burke</t>
  </si>
  <si>
    <t>Morgan Ruiz</t>
  </si>
  <si>
    <t>Kelly Schmidt</t>
  </si>
  <si>
    <t>Miguel Cochran</t>
  </si>
  <si>
    <t>Bryan Browning</t>
  </si>
  <si>
    <t>Tammy Barajas</t>
  </si>
  <si>
    <t>Robert Garcia</t>
  </si>
  <si>
    <t>Charles Richards</t>
  </si>
  <si>
    <t>Jack Morris</t>
  </si>
  <si>
    <t>Rachel Rivera</t>
  </si>
  <si>
    <t>Billy Massey</t>
  </si>
  <si>
    <t>Jessica King</t>
  </si>
  <si>
    <t>Patricia Harrington</t>
  </si>
  <si>
    <t>Michelle Harrison</t>
  </si>
  <si>
    <t>Valerie Spencer</t>
  </si>
  <si>
    <t>Angelica Key</t>
  </si>
  <si>
    <t>Timothy Patel</t>
  </si>
  <si>
    <t>Jennifer Howell</t>
  </si>
  <si>
    <t>Robert Mercado</t>
  </si>
  <si>
    <t>Olivia Patel</t>
  </si>
  <si>
    <t>Danielle Jones</t>
  </si>
  <si>
    <t>Jerome Carson</t>
  </si>
  <si>
    <t>Tammy Wood</t>
  </si>
  <si>
    <t>Jordan Reese</t>
  </si>
  <si>
    <t>Adriana Ray</t>
  </si>
  <si>
    <t>George Schmidt</t>
  </si>
  <si>
    <t>Travis Walker</t>
  </si>
  <si>
    <t>Donald Hawkins</t>
  </si>
  <si>
    <t>Nicole Evans</t>
  </si>
  <si>
    <t>Jenna Mcpherson</t>
  </si>
  <si>
    <t>Tyrone Knox</t>
  </si>
  <si>
    <t>Michele Washington</t>
  </si>
  <si>
    <t>Thomas Martin</t>
  </si>
  <si>
    <t>Jennifer Lopez</t>
  </si>
  <si>
    <t>Toni Harrison</t>
  </si>
  <si>
    <t>Anna Nguyen</t>
  </si>
  <si>
    <t>Kristine Morales</t>
  </si>
  <si>
    <t>Jerry Barr</t>
  </si>
  <si>
    <t>Christina Melton</t>
  </si>
  <si>
    <t>Jason Davis</t>
  </si>
  <si>
    <t>Brandon Rodriguez</t>
  </si>
  <si>
    <t>Anthony Chen MD</t>
  </si>
  <si>
    <t>James Howell</t>
  </si>
  <si>
    <t>James Guerrero</t>
  </si>
  <si>
    <t>Kevin Davis</t>
  </si>
  <si>
    <t>Danielle Vang</t>
  </si>
  <si>
    <t>Lori Daniels</t>
  </si>
  <si>
    <t>Elizabeth Woods</t>
  </si>
  <si>
    <t>Crystal Cruz</t>
  </si>
  <si>
    <t>Jessica Wall</t>
  </si>
  <si>
    <t>Breanna Henry</t>
  </si>
  <si>
    <t>James Skinner</t>
  </si>
  <si>
    <t>Wayne Vasquez</t>
  </si>
  <si>
    <t>Darrell Cordova</t>
  </si>
  <si>
    <t>John Torres</t>
  </si>
  <si>
    <t>Jennifer Watkins</t>
  </si>
  <si>
    <t>Cole Long</t>
  </si>
  <si>
    <t>Stephanie Fitzpatrick</t>
  </si>
  <si>
    <t>Derrick Griffith</t>
  </si>
  <si>
    <t>Martin Shelton</t>
  </si>
  <si>
    <t>Michael Phillips</t>
  </si>
  <si>
    <t>Phillip Barry</t>
  </si>
  <si>
    <t>Sue Dunn</t>
  </si>
  <si>
    <t>Jillian Tucker</t>
  </si>
  <si>
    <t>Felicia Brady</t>
  </si>
  <si>
    <t>Brenda Hatfield</t>
  </si>
  <si>
    <t>Jerry Nelson</t>
  </si>
  <si>
    <t>Matthew Robertson</t>
  </si>
  <si>
    <t>Michael Martin</t>
  </si>
  <si>
    <t>Martha Jenkins</t>
  </si>
  <si>
    <t>David Lindsey</t>
  </si>
  <si>
    <t>Crystal Horton</t>
  </si>
  <si>
    <t>Rebecca Sloan</t>
  </si>
  <si>
    <t>Amy Adams</t>
  </si>
  <si>
    <t>Karen Maldonado</t>
  </si>
  <si>
    <t>Jessica Pratt MD</t>
  </si>
  <si>
    <t>Dennis Armstrong</t>
  </si>
  <si>
    <t>Taylor Lutz</t>
  </si>
  <si>
    <t>Kenneth Chan</t>
  </si>
  <si>
    <t>Jose Vaughan</t>
  </si>
  <si>
    <t>Christopher Cook</t>
  </si>
  <si>
    <t>Chris Dickerson</t>
  </si>
  <si>
    <t>Cindy Thomas</t>
  </si>
  <si>
    <t>David Davis</t>
  </si>
  <si>
    <t>Christian Johnson</t>
  </si>
  <si>
    <t>Christopher Lin</t>
  </si>
  <si>
    <t>Daniel Ruiz</t>
  </si>
  <si>
    <t>Alan Blevins</t>
  </si>
  <si>
    <t>Dr. Angela Foster MD</t>
  </si>
  <si>
    <t>Judy Alvarado</t>
  </si>
  <si>
    <t>Jessica Koch</t>
  </si>
  <si>
    <t>Mark Smith</t>
  </si>
  <si>
    <t>Matthew Rhodes</t>
  </si>
  <si>
    <t>Melissa Vasquez</t>
  </si>
  <si>
    <t>Amber Baker</t>
  </si>
  <si>
    <t>Michael Smith</t>
  </si>
  <si>
    <t>April Martinez</t>
  </si>
  <si>
    <t>Mr. Kevin York</t>
  </si>
  <si>
    <t>Dr. Brenda Yu</t>
  </si>
  <si>
    <t>Nicolas Castillo</t>
  </si>
  <si>
    <t>Ernest Rowe</t>
  </si>
  <si>
    <t>Diane Wood</t>
  </si>
  <si>
    <t>Chad Harper</t>
  </si>
  <si>
    <t>Jimmy Dickson</t>
  </si>
  <si>
    <t>Justin Larson</t>
  </si>
  <si>
    <t>Veronica Hanson</t>
  </si>
  <si>
    <t>William Smith</t>
  </si>
  <si>
    <t>Donald Parrish</t>
  </si>
  <si>
    <t>Michael Nelson</t>
  </si>
  <si>
    <t>Suzanne Simmons</t>
  </si>
  <si>
    <t>Dwayne Hill</t>
  </si>
  <si>
    <t>Susan Grimes</t>
  </si>
  <si>
    <t>Matthew Landry</t>
  </si>
  <si>
    <t>Amanda Green</t>
  </si>
  <si>
    <t>James Thomas</t>
  </si>
  <si>
    <t>Donna Mason</t>
  </si>
  <si>
    <t>Ernest Thompson</t>
  </si>
  <si>
    <t>Frank Schultz</t>
  </si>
  <si>
    <t>Terry Orozco</t>
  </si>
  <si>
    <t>John Martin</t>
  </si>
  <si>
    <t>James Owen</t>
  </si>
  <si>
    <t>Kelly Fry</t>
  </si>
  <si>
    <t>Ethan Price</t>
  </si>
  <si>
    <t>Edward Hodges</t>
  </si>
  <si>
    <t>Larry Flores</t>
  </si>
  <si>
    <t>Wendy Aguirre</t>
  </si>
  <si>
    <t>Michael Gonzalez</t>
  </si>
  <si>
    <t>Valerie Obrien</t>
  </si>
  <si>
    <t>Timothy Johnson</t>
  </si>
  <si>
    <t>Michael Taylor</t>
  </si>
  <si>
    <t>Bonnie Grant MD</t>
  </si>
  <si>
    <t>Nicole Hamilton</t>
  </si>
  <si>
    <t>Kimberly Wells</t>
  </si>
  <si>
    <t>Elizabeth Kaiser DVM</t>
  </si>
  <si>
    <t>Tonya Wood</t>
  </si>
  <si>
    <t>Jonathan Smith</t>
  </si>
  <si>
    <t>Jennifer Hayes</t>
  </si>
  <si>
    <t>Jenny Joseph</t>
  </si>
  <si>
    <t>Frederick Reynolds</t>
  </si>
  <si>
    <t>Katherine Burns</t>
  </si>
  <si>
    <t>Amanda Duffy</t>
  </si>
  <si>
    <t>Zachary Fernandez</t>
  </si>
  <si>
    <t>Victoria Hernandez</t>
  </si>
  <si>
    <t>Daryl Nelson</t>
  </si>
  <si>
    <t>Rodney Cooper</t>
  </si>
  <si>
    <t>Mrs. Christina Lane</t>
  </si>
  <si>
    <t>Denise Curry</t>
  </si>
  <si>
    <t>Taylor Young</t>
  </si>
  <si>
    <t>Michael Gamble</t>
  </si>
  <si>
    <t>Regina Fitzpatrick</t>
  </si>
  <si>
    <t>Alexandria Glenn</t>
  </si>
  <si>
    <t>Kristina Webb</t>
  </si>
  <si>
    <t>Christina Davis</t>
  </si>
  <si>
    <t>Betty Taylor DDS</t>
  </si>
  <si>
    <t>Diana Perez</t>
  </si>
  <si>
    <t>Hannah Williams</t>
  </si>
  <si>
    <t>Casey Chapman</t>
  </si>
  <si>
    <t>Andrea Griffin</t>
  </si>
  <si>
    <t>Diane Smith</t>
  </si>
  <si>
    <t>Sarah Montoya</t>
  </si>
  <si>
    <t>Patricia Knox</t>
  </si>
  <si>
    <t>Yvette Sloan</t>
  </si>
  <si>
    <t>Crystal Hayes</t>
  </si>
  <si>
    <t>Craig Burton</t>
  </si>
  <si>
    <t>Pamela Mora</t>
  </si>
  <si>
    <t>David Scott</t>
  </si>
  <si>
    <t>Tammy Lester</t>
  </si>
  <si>
    <t>David Moore</t>
  </si>
  <si>
    <t>Jonathan Torres</t>
  </si>
  <si>
    <t>Thomas Hall</t>
  </si>
  <si>
    <t>Ana Cook</t>
  </si>
  <si>
    <t>Matthew Everett DDS</t>
  </si>
  <si>
    <t>Vanessa Wood</t>
  </si>
  <si>
    <t>Steven Russell</t>
  </si>
  <si>
    <t>Javier Crawford</t>
  </si>
  <si>
    <t>Emily Wagner DVM</t>
  </si>
  <si>
    <t>Nicholas Jordan</t>
  </si>
  <si>
    <t>Morgan Reyes</t>
  </si>
  <si>
    <t>Thomas Fox</t>
  </si>
  <si>
    <t>Jeanette Proctor</t>
  </si>
  <si>
    <t>Dustin Mccarthy</t>
  </si>
  <si>
    <t>Steven Miranda</t>
  </si>
  <si>
    <t>Tiffany Mack</t>
  </si>
  <si>
    <t>Sheila Peterson</t>
  </si>
  <si>
    <t>William Franklin</t>
  </si>
  <si>
    <t>Amanda Watts</t>
  </si>
  <si>
    <t>Jonathan Marquez</t>
  </si>
  <si>
    <t>Shawn Estrada</t>
  </si>
  <si>
    <t>Arthur Porter</t>
  </si>
  <si>
    <t>Ryan Boyer</t>
  </si>
  <si>
    <t>Jose Foster</t>
  </si>
  <si>
    <t>Michelle Franklin</t>
  </si>
  <si>
    <t>Brent Woods</t>
  </si>
  <si>
    <t>Jerry Ruiz</t>
  </si>
  <si>
    <t>Trevor Hartman</t>
  </si>
  <si>
    <t>Hannah Adams</t>
  </si>
  <si>
    <t>Jill Olsen</t>
  </si>
  <si>
    <t>William Perez</t>
  </si>
  <si>
    <t>Ashley Watson</t>
  </si>
  <si>
    <t>Paige Jimenez</t>
  </si>
  <si>
    <t>Heather Chavez</t>
  </si>
  <si>
    <t>Nathan Scott</t>
  </si>
  <si>
    <t>Kendra Schultz</t>
  </si>
  <si>
    <t>Joel Schultz</t>
  </si>
  <si>
    <t>Eric Gardner</t>
  </si>
  <si>
    <t>Melissa Smith</t>
  </si>
  <si>
    <t>Cynthia Mitchell</t>
  </si>
  <si>
    <t>John Becker</t>
  </si>
  <si>
    <t>Shawn Martin</t>
  </si>
  <si>
    <t>Terry Campbell</t>
  </si>
  <si>
    <t>Jennifer Hernandez</t>
  </si>
  <si>
    <t>Alyssa Gibson</t>
  </si>
  <si>
    <t>Christopher Green</t>
  </si>
  <si>
    <t>Nancy Wade</t>
  </si>
  <si>
    <t>Kari Torres</t>
  </si>
  <si>
    <t>James Aguirre</t>
  </si>
  <si>
    <t>Brent Drake</t>
  </si>
  <si>
    <t>Leslie Jordan</t>
  </si>
  <si>
    <t>Daniel Suarez</t>
  </si>
  <si>
    <t>Renee Phillips</t>
  </si>
  <si>
    <t>Daniel Fuentes</t>
  </si>
  <si>
    <t>Donald Craig</t>
  </si>
  <si>
    <t>Andrew Moore DVM</t>
  </si>
  <si>
    <t>Teresa Myers</t>
  </si>
  <si>
    <t>Matthew Elliott</t>
  </si>
  <si>
    <t>Leslie Riley</t>
  </si>
  <si>
    <t>Amanda Kennedy</t>
  </si>
  <si>
    <t>Tiffany Johnson</t>
  </si>
  <si>
    <t>Angel Acosta</t>
  </si>
  <si>
    <t>Mary Arnold</t>
  </si>
  <si>
    <t>Michael Edwards</t>
  </si>
  <si>
    <t>Christopher Bowers</t>
  </si>
  <si>
    <t>Scott Winters</t>
  </si>
  <si>
    <t>Thomas Burgess</t>
  </si>
  <si>
    <t>Erik Johns</t>
  </si>
  <si>
    <t>Richard Brown</t>
  </si>
  <si>
    <t>Jonathan Cuevas</t>
  </si>
  <si>
    <t>Tonya Miranda</t>
  </si>
  <si>
    <t>Rodney Baird</t>
  </si>
  <si>
    <t>James Jackson</t>
  </si>
  <si>
    <t>Mark Bowen</t>
  </si>
  <si>
    <t>Rhonda Green</t>
  </si>
  <si>
    <t>Lee Randolph</t>
  </si>
  <si>
    <t>Dean Sanchez</t>
  </si>
  <si>
    <t>Ashley Nguyen</t>
  </si>
  <si>
    <t>John Clark</t>
  </si>
  <si>
    <t>Chad Carrillo</t>
  </si>
  <si>
    <t>William Moore</t>
  </si>
  <si>
    <t>Nancy Williams</t>
  </si>
  <si>
    <t>Denise Garcia</t>
  </si>
  <si>
    <t>Rachel Medina</t>
  </si>
  <si>
    <t>Frank Dean</t>
  </si>
  <si>
    <t>Kevin Spencer</t>
  </si>
  <si>
    <t>Arthur Jackson</t>
  </si>
  <si>
    <t>Laura Phillips</t>
  </si>
  <si>
    <t>Johnny Rodriguez</t>
  </si>
  <si>
    <t>Joshua Diaz</t>
  </si>
  <si>
    <t>Justin Roberts</t>
  </si>
  <si>
    <t>Brandon Gonzalez</t>
  </si>
  <si>
    <t>Jasmine Coleman</t>
  </si>
  <si>
    <t>Thomas Campbell</t>
  </si>
  <si>
    <t>Andrea Gray</t>
  </si>
  <si>
    <t>Jon Keller</t>
  </si>
  <si>
    <t>Sharon Ford</t>
  </si>
  <si>
    <t>Jennifer Martin MD</t>
  </si>
  <si>
    <t>Christopher Hill</t>
  </si>
  <si>
    <t>Heather Morris</t>
  </si>
  <si>
    <t>Ronnie Huber</t>
  </si>
  <si>
    <t>Rebecca Woodward</t>
  </si>
  <si>
    <t>Brittany Ford</t>
  </si>
  <si>
    <t>William Collier</t>
  </si>
  <si>
    <t>Kathleen Miller</t>
  </si>
  <si>
    <t>Laura Bradley</t>
  </si>
  <si>
    <t>Kelly Deleon</t>
  </si>
  <si>
    <t>Christian Garcia</t>
  </si>
  <si>
    <t>Anne Huffman</t>
  </si>
  <si>
    <t>Lisa Kelly</t>
  </si>
  <si>
    <t>Rachel Howe</t>
  </si>
  <si>
    <t>Kelly Garza</t>
  </si>
  <si>
    <t>Gregory Ryan</t>
  </si>
  <si>
    <t>Jamie Oliver</t>
  </si>
  <si>
    <t>James Barton</t>
  </si>
  <si>
    <t>Andrea Rice</t>
  </si>
  <si>
    <t>Brooke Clarke</t>
  </si>
  <si>
    <t>Robert Rodriguez</t>
  </si>
  <si>
    <t>Cheyenne Williams</t>
  </si>
  <si>
    <t>Sandra Stewart</t>
  </si>
  <si>
    <t>Karen Skinner</t>
  </si>
  <si>
    <t>Marc Davis</t>
  </si>
  <si>
    <t>Jennifer Reynolds</t>
  </si>
  <si>
    <t>David Santiago</t>
  </si>
  <si>
    <t>Michael Shah</t>
  </si>
  <si>
    <t>Michelle Ortiz</t>
  </si>
  <si>
    <t>Jamie Stafford DVM</t>
  </si>
  <si>
    <t>Christian Hebert</t>
  </si>
  <si>
    <t>Kimberly Gill</t>
  </si>
  <si>
    <t>Warren Curtis</t>
  </si>
  <si>
    <t>Anna Kelley</t>
  </si>
  <si>
    <t>Dale White</t>
  </si>
  <si>
    <t>Anthony Shields</t>
  </si>
  <si>
    <t>Jeffrey Harrell</t>
  </si>
  <si>
    <t>Geoffrey Jones</t>
  </si>
  <si>
    <t>Bonnie Perez</t>
  </si>
  <si>
    <t>Jeff Lewis</t>
  </si>
  <si>
    <t>Courtney Hunter</t>
  </si>
  <si>
    <t>Kim George</t>
  </si>
  <si>
    <t>Katrina Hale DVM</t>
  </si>
  <si>
    <t>Brian Dunn</t>
  </si>
  <si>
    <t>Sherri Marsh</t>
  </si>
  <si>
    <t>Seth Jackson</t>
  </si>
  <si>
    <t>Mr. Joseph Pierce</t>
  </si>
  <si>
    <t>Dana Rodriguez</t>
  </si>
  <si>
    <t>Andrew Wilson</t>
  </si>
  <si>
    <t>Jennifer Harris</t>
  </si>
  <si>
    <t>Rachael Williams</t>
  </si>
  <si>
    <t>Jason Ewing</t>
  </si>
  <si>
    <t>Denise Johnson</t>
  </si>
  <si>
    <t>Brent Pena</t>
  </si>
  <si>
    <t>David Dennis MD</t>
  </si>
  <si>
    <t>Patricia Price</t>
  </si>
  <si>
    <t>Erika Hudson</t>
  </si>
  <si>
    <t>Mr. Reginald Ramirez</t>
  </si>
  <si>
    <t>Dr. Edward Dixon DVM</t>
  </si>
  <si>
    <t>Paula Brown</t>
  </si>
  <si>
    <t>Gary Brown</t>
  </si>
  <si>
    <t>Megan Lee</t>
  </si>
  <si>
    <t>Fernando Hoover</t>
  </si>
  <si>
    <t>Timothy Strong</t>
  </si>
  <si>
    <t>Billy Long</t>
  </si>
  <si>
    <t>Crystal Johnson</t>
  </si>
  <si>
    <t>Jason Bolton</t>
  </si>
  <si>
    <t>Matthew Taylor</t>
  </si>
  <si>
    <t>Rebecca Roy</t>
  </si>
  <si>
    <t>Dr. Keith Martin</t>
  </si>
  <si>
    <t>Dr. Tamara Mills</t>
  </si>
  <si>
    <t>Diamond Hill</t>
  </si>
  <si>
    <t>Andrea King</t>
  </si>
  <si>
    <t>Justin Gray</t>
  </si>
  <si>
    <t>Shannon Ross</t>
  </si>
  <si>
    <t>Kevin Ferrell</t>
  </si>
  <si>
    <t>Caroline Shaw</t>
  </si>
  <si>
    <t>Michael Miller</t>
  </si>
  <si>
    <t>John Monroe</t>
  </si>
  <si>
    <t>Laura Harris</t>
  </si>
  <si>
    <t>Scott Carpenter</t>
  </si>
  <si>
    <t>Ms. Margaret Andrews</t>
  </si>
  <si>
    <t>Lori Gonzalez</t>
  </si>
  <si>
    <t>Angela Walker</t>
  </si>
  <si>
    <t>Suzanne Coffey</t>
  </si>
  <si>
    <t>Brent Thomas</t>
  </si>
  <si>
    <t>Cindy Scott DVM</t>
  </si>
  <si>
    <t>Jacob Vega</t>
  </si>
  <si>
    <t>Tony Sims</t>
  </si>
  <si>
    <t>Mitchell Simmons</t>
  </si>
  <si>
    <t>Joseph Spencer</t>
  </si>
  <si>
    <t>Daniel Shelton</t>
  </si>
  <si>
    <t>Jonathan Scott</t>
  </si>
  <si>
    <t>Douglas Hernandez PhD</t>
  </si>
  <si>
    <t>Jeremy Lee</t>
  </si>
  <si>
    <t>Zachary Williams</t>
  </si>
  <si>
    <t>Terri Trujillo</t>
  </si>
  <si>
    <t>Christopher Hodges</t>
  </si>
  <si>
    <t>Nicole Richards MD</t>
  </si>
  <si>
    <t>Stacy Brown</t>
  </si>
  <si>
    <t>Judy Hawkins</t>
  </si>
  <si>
    <t>Antonio Kennedy</t>
  </si>
  <si>
    <t>Donald Williams</t>
  </si>
  <si>
    <t>Susan Taylor</t>
  </si>
  <si>
    <t>Alexandra Gonzalez</t>
  </si>
  <si>
    <t>Beth Suarez</t>
  </si>
  <si>
    <t>Beth Mcmillan</t>
  </si>
  <si>
    <t>Michael Williams</t>
  </si>
  <si>
    <t>Amber Brown</t>
  </si>
  <si>
    <t>Toni Johnson</t>
  </si>
  <si>
    <t>William Bailey</t>
  </si>
  <si>
    <t>Mary Green</t>
  </si>
  <si>
    <t>Logan Rice</t>
  </si>
  <si>
    <t>Jennifer White</t>
  </si>
  <si>
    <t>Amanda James</t>
  </si>
  <si>
    <t>John Hodge</t>
  </si>
  <si>
    <t>Sandra Smith</t>
  </si>
  <si>
    <t>Barbara Gonzales</t>
  </si>
  <si>
    <t>Mrs. Laura Chandler MD</t>
  </si>
  <si>
    <t>David Reilly</t>
  </si>
  <si>
    <t>Diane Gonzales</t>
  </si>
  <si>
    <t>Leslie Hawkins</t>
  </si>
  <si>
    <t>Robert Huang</t>
  </si>
  <si>
    <t>Angela Schwartz</t>
  </si>
  <si>
    <t>Wendy Oneal</t>
  </si>
  <si>
    <t>Ashley Jimenez</t>
  </si>
  <si>
    <t>Julie Lester</t>
  </si>
  <si>
    <t>Mark Carpenter</t>
  </si>
  <si>
    <t>Todd Shannon</t>
  </si>
  <si>
    <t>Gary Vasquez</t>
  </si>
  <si>
    <t>Bruce Galvan</t>
  </si>
  <si>
    <t>Gerald Parks</t>
  </si>
  <si>
    <t>Joan Cuevas</t>
  </si>
  <si>
    <t>Eric Gibson</t>
  </si>
  <si>
    <t>Carla Anderson</t>
  </si>
  <si>
    <t>Travis Phillips II</t>
  </si>
  <si>
    <t>Virginia Peterson</t>
  </si>
  <si>
    <t>Tamara Barnett</t>
  </si>
  <si>
    <t>Juan Murphy</t>
  </si>
  <si>
    <t>Amanda Hill</t>
  </si>
  <si>
    <t>Sarah Griffith</t>
  </si>
  <si>
    <t>Row Labels</t>
  </si>
  <si>
    <t>Grand Total</t>
  </si>
  <si>
    <t>Sum of Loan_Amount</t>
  </si>
  <si>
    <t>Manager Name</t>
  </si>
  <si>
    <t xml:space="preserve">Total Loans </t>
  </si>
  <si>
    <t>Avg Income</t>
  </si>
  <si>
    <t xml:space="preserve">Approved Loans </t>
  </si>
  <si>
    <t>Total Customers</t>
  </si>
  <si>
    <t>KPI</t>
  </si>
  <si>
    <t>Value</t>
  </si>
  <si>
    <t>KPI Summary</t>
  </si>
  <si>
    <t>Pivot Table</t>
  </si>
  <si>
    <t>Pivot Chart</t>
  </si>
  <si>
    <t>Slicer</t>
  </si>
  <si>
    <t>BANK LOAN ANLAYSIS DASHOBOARD</t>
  </si>
  <si>
    <t>Income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</si>
</sst>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4"/>
      <color theme="1"/>
      <name val="Times New Roman"/>
      <family val="1"/>
    </font>
    <font>
      <b/>
      <sz val="13"/>
      <color theme="1"/>
      <name val="Times New Roman"/>
      <family val="1"/>
    </font>
    <font>
      <sz val="11"/>
      <color theme="1"/>
      <name val="Times New Roman"/>
      <family val="1"/>
    </font>
    <font>
      <b/>
      <sz val="16"/>
      <color theme="1"/>
      <name val="Times New Roman"/>
      <family val="1"/>
    </font>
    <font>
      <sz val="12"/>
      <color theme="1"/>
      <name val="Times New Roman"/>
      <family val="1"/>
    </font>
  </fonts>
  <fills count="7">
    <fill>
      <patternFill patternType="none"/>
    </fill>
    <fill>
      <patternFill patternType="gray125"/>
    </fill>
    <fill>
      <patternFill patternType="solid">
        <fgColor theme="9"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8"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6">
    <xf numFmtId="0" fontId="0" fillId="0" borderId="0" xfId="0"/>
    <xf numFmtId="0" fontId="0" fillId="0" borderId="0" xfId="0" applyAlignment="1">
      <alignment horizontal="center"/>
    </xf>
    <xf numFmtId="0" fontId="0" fillId="2" borderId="1" xfId="0" applyFill="1" applyBorder="1" applyAlignment="1">
      <alignment horizontal="center"/>
    </xf>
    <xf numFmtId="0" fontId="0" fillId="4" borderId="1" xfId="0" applyFill="1"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0" fillId="4" borderId="7"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5" xfId="0" applyFill="1" applyBorder="1" applyAlignment="1">
      <alignment horizontal="center"/>
    </xf>
    <xf numFmtId="0" fontId="0" fillId="0" borderId="1" xfId="0" pivotButton="1" applyBorder="1"/>
    <xf numFmtId="0" fontId="0" fillId="0" borderId="1" xfId="0" applyBorder="1"/>
    <xf numFmtId="0" fontId="0" fillId="0" borderId="1" xfId="0" applyBorder="1" applyAlignment="1">
      <alignment horizontal="left"/>
    </xf>
    <xf numFmtId="0" fontId="0" fillId="3" borderId="1" xfId="0" applyFill="1" applyBorder="1" applyAlignment="1">
      <alignment horizontal="center"/>
    </xf>
    <xf numFmtId="0" fontId="3" fillId="6" borderId="1" xfId="0" applyFont="1" applyFill="1" applyBorder="1" applyAlignment="1">
      <alignment horizontal="center"/>
    </xf>
    <xf numFmtId="0" fontId="4" fillId="0" borderId="1" xfId="0" pivotButton="1" applyFont="1" applyBorder="1"/>
    <xf numFmtId="0" fontId="4" fillId="0" borderId="1" xfId="0" applyFont="1" applyBorder="1"/>
    <xf numFmtId="0" fontId="6" fillId="0" borderId="1" xfId="0" applyFont="1" applyBorder="1" applyAlignment="1">
      <alignment horizontal="left"/>
    </xf>
    <xf numFmtId="0" fontId="6" fillId="0" borderId="1" xfId="0" applyFont="1" applyBorder="1"/>
    <xf numFmtId="0" fontId="6" fillId="5" borderId="1" xfId="0" applyFont="1" applyFill="1" applyBorder="1"/>
    <xf numFmtId="0" fontId="2" fillId="0" borderId="0" xfId="0" applyFont="1" applyAlignment="1">
      <alignment horizontal="center"/>
    </xf>
    <xf numFmtId="0" fontId="0" fillId="0" borderId="0" xfId="0" applyAlignment="1">
      <alignment horizontal="center"/>
    </xf>
    <xf numFmtId="0" fontId="5" fillId="0" borderId="0" xfId="0" applyFont="1" applyAlignment="1">
      <alignment horizontal="center"/>
    </xf>
  </cellXfs>
  <cellStyles count="1">
    <cellStyle name="Normal" xfId="0" builtinId="0"/>
  </cellStyles>
  <dxfs count="136">
    <dxf>
      <fill>
        <patternFill>
          <bgColor theme="8" tint="0.59996337778862885"/>
        </patternFill>
      </fill>
    </dxf>
    <dxf>
      <fill>
        <patternFill>
          <bgColor theme="7" tint="0.79998168889431442"/>
        </patternFill>
      </fill>
    </dxf>
    <dxf>
      <fill>
        <patternFill>
          <bgColor rgb="FFFF5050"/>
        </patternFill>
      </fill>
    </dxf>
    <dxf>
      <fill>
        <patternFill>
          <bgColor rgb="FFFF7C80"/>
        </patternFill>
      </fill>
    </dxf>
    <dxf>
      <fill>
        <patternFill>
          <bgColor rgb="FFFF5050"/>
        </patternFill>
      </fill>
    </dxf>
    <dxf>
      <fill>
        <patternFill>
          <bgColor theme="7" tint="0.79998168889431442"/>
        </patternFill>
      </fill>
    </dxf>
    <dxf>
      <fill>
        <patternFill>
          <bgColor theme="8" tint="0.59996337778862885"/>
        </patternFill>
      </fill>
    </dxf>
    <dxf>
      <fill>
        <patternFill>
          <bgColor theme="8" tint="0.39994506668294322"/>
        </patternFill>
      </fill>
    </dxf>
    <dxf>
      <fill>
        <patternFill>
          <bgColor theme="9" tint="0.39994506668294322"/>
        </patternFill>
      </fill>
    </dxf>
    <dxf>
      <fill>
        <patternFill>
          <bgColor theme="7" tint="0.39994506668294322"/>
        </patternFill>
      </fill>
    </dxf>
    <dxf>
      <fill>
        <patternFill>
          <bgColor rgb="FFECE71C"/>
        </patternFill>
      </fill>
    </dxf>
    <dxf>
      <fill>
        <patternFill>
          <bgColor theme="3" tint="0.59996337778862885"/>
        </patternFill>
      </fill>
    </dxf>
    <dxf>
      <fill>
        <patternFill>
          <bgColor theme="7" tint="0.59996337778862885"/>
        </patternFill>
      </fill>
    </dxf>
    <dxf>
      <fill>
        <patternFill>
          <bgColor theme="8" tint="0.39994506668294322"/>
        </patternFill>
      </fill>
    </dxf>
    <dxf>
      <fill>
        <patternFill>
          <bgColor theme="9" tint="0.39994506668294322"/>
        </patternFill>
      </fill>
    </dxf>
    <dxf>
      <fill>
        <patternFill>
          <bgColor theme="7" tint="0.39994506668294322"/>
        </patternFill>
      </fill>
    </dxf>
    <dxf>
      <fill>
        <patternFill>
          <bgColor rgb="FFECE71C"/>
        </patternFill>
      </fill>
    </dxf>
    <dxf>
      <fill>
        <patternFill>
          <bgColor theme="3" tint="0.59996337778862885"/>
        </patternFill>
      </fill>
    </dxf>
    <dxf>
      <fill>
        <patternFill>
          <bgColor theme="7" tint="0.59996337778862885"/>
        </patternFill>
      </fill>
    </dxf>
    <dxf>
      <fill>
        <patternFill>
          <bgColor theme="7" tint="0.79998168889431442"/>
        </patternFill>
      </fill>
    </dxf>
    <dxf>
      <fill>
        <patternFill>
          <bgColor theme="8" tint="0.59996337778862885"/>
        </patternFill>
      </fill>
    </dxf>
    <dxf>
      <fill>
        <patternFill>
          <bgColor theme="8" tint="0.39994506668294322"/>
        </patternFill>
      </fill>
    </dxf>
    <dxf>
      <fill>
        <patternFill>
          <bgColor theme="9" tint="0.39994506668294322"/>
        </patternFill>
      </fill>
    </dxf>
    <dxf>
      <fill>
        <patternFill>
          <bgColor theme="7" tint="0.39994506668294322"/>
        </patternFill>
      </fill>
    </dxf>
    <dxf>
      <fill>
        <patternFill>
          <bgColor rgb="FFECE71C"/>
        </patternFill>
      </fill>
    </dxf>
    <dxf>
      <fill>
        <patternFill>
          <bgColor theme="3" tint="0.59996337778862885"/>
        </patternFill>
      </fill>
    </dxf>
    <dxf>
      <fill>
        <patternFill>
          <bgColor theme="7" tint="0.59996337778862885"/>
        </patternFill>
      </fill>
    </dxf>
    <dxf>
      <fill>
        <patternFill>
          <bgColor theme="8" tint="0.59996337778862885"/>
        </patternFill>
      </fill>
    </dxf>
    <dxf>
      <fill>
        <patternFill>
          <bgColor theme="8" tint="0.39994506668294322"/>
        </patternFill>
      </fill>
    </dxf>
    <dxf>
      <fill>
        <patternFill>
          <bgColor theme="9" tint="0.39994506668294322"/>
        </patternFill>
      </fill>
    </dxf>
    <dxf>
      <fill>
        <patternFill>
          <bgColor theme="7" tint="0.39994506668294322"/>
        </patternFill>
      </fill>
    </dxf>
    <dxf>
      <fill>
        <patternFill>
          <bgColor rgb="FFECE71C"/>
        </patternFill>
      </fill>
    </dxf>
    <dxf>
      <fill>
        <patternFill>
          <bgColor theme="3" tint="0.59996337778862885"/>
        </patternFill>
      </fill>
    </dxf>
    <dxf>
      <fill>
        <patternFill>
          <bgColor theme="7" tint="0.59996337778862885"/>
        </patternFill>
      </fill>
    </dxf>
    <dxf>
      <fill>
        <patternFill>
          <bgColor theme="8" tint="0.39994506668294322"/>
        </patternFill>
      </fill>
    </dxf>
    <dxf>
      <fill>
        <patternFill>
          <bgColor theme="9" tint="0.39994506668294322"/>
        </patternFill>
      </fill>
    </dxf>
    <dxf>
      <fill>
        <patternFill>
          <bgColor theme="7" tint="0.39994506668294322"/>
        </patternFill>
      </fill>
    </dxf>
    <dxf>
      <fill>
        <patternFill>
          <bgColor rgb="FFECE71C"/>
        </patternFill>
      </fill>
    </dxf>
    <dxf>
      <fill>
        <patternFill>
          <bgColor theme="3" tint="0.59996337778862885"/>
        </patternFill>
      </fill>
    </dxf>
    <dxf>
      <fill>
        <patternFill>
          <bgColor theme="7" tint="0.59996337778862885"/>
        </patternFill>
      </fill>
    </dxf>
    <dxf>
      <numFmt numFmtId="0" formatCode="General"/>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bgColor theme="4" tint="0.79998168889431442"/>
        </patternFill>
      </fill>
    </dxf>
    <dxf>
      <fill>
        <patternFill>
          <bgColor theme="7" tint="0.79998168889431442"/>
        </patternFill>
      </fill>
    </dxf>
    <dxf>
      <fill>
        <patternFill>
          <bgColor theme="4" tint="0.79998168889431442"/>
        </patternFill>
      </fill>
    </dxf>
    <dxf>
      <fill>
        <patternFill>
          <bgColor theme="8" tint="0.39994506668294322"/>
        </patternFill>
      </fill>
    </dxf>
    <dxf>
      <fill>
        <patternFill>
          <bgColor theme="9" tint="0.39994506668294322"/>
        </patternFill>
      </fill>
    </dxf>
    <dxf>
      <fill>
        <patternFill>
          <bgColor theme="7" tint="0.39994506668294322"/>
        </patternFill>
      </fill>
    </dxf>
    <dxf>
      <fill>
        <patternFill>
          <bgColor rgb="FFECE71C"/>
        </patternFill>
      </fill>
    </dxf>
    <dxf>
      <fill>
        <patternFill>
          <bgColor theme="3" tint="0.59996337778862885"/>
        </patternFill>
      </fill>
    </dxf>
    <dxf>
      <fill>
        <patternFill>
          <bgColor theme="7" tint="0.59996337778862885"/>
        </patternFill>
      </fill>
    </dxf>
    <dxf>
      <fill>
        <patternFill>
          <bgColor theme="8" tint="0.39994506668294322"/>
        </patternFill>
      </fill>
    </dxf>
    <dxf>
      <fill>
        <patternFill>
          <bgColor theme="9" tint="0.39994506668294322"/>
        </patternFill>
      </fill>
    </dxf>
    <dxf>
      <fill>
        <patternFill>
          <bgColor theme="7" tint="0.39994506668294322"/>
        </patternFill>
      </fill>
    </dxf>
    <dxf>
      <fill>
        <patternFill>
          <bgColor rgb="FFECE71C"/>
        </patternFill>
      </fill>
    </dxf>
    <dxf>
      <fill>
        <patternFill>
          <bgColor theme="3" tint="0.59996337778862885"/>
        </patternFill>
      </fill>
    </dxf>
    <dxf>
      <fill>
        <patternFill>
          <bgColor theme="7" tint="0.59996337778862885"/>
        </patternFill>
      </fill>
    </dxf>
    <dxf>
      <fill>
        <patternFill>
          <bgColor theme="8" tint="0.39994506668294322"/>
        </patternFill>
      </fill>
    </dxf>
    <dxf>
      <fill>
        <patternFill>
          <bgColor theme="9" tint="0.39994506668294322"/>
        </patternFill>
      </fill>
    </dxf>
    <dxf>
      <fill>
        <patternFill>
          <bgColor theme="7" tint="0.39994506668294322"/>
        </patternFill>
      </fill>
    </dxf>
    <dxf>
      <fill>
        <patternFill>
          <bgColor rgb="FFECE71C"/>
        </patternFill>
      </fill>
    </dxf>
    <dxf>
      <fill>
        <patternFill>
          <bgColor theme="3" tint="0.59996337778862885"/>
        </patternFill>
      </fill>
    </dxf>
    <dxf>
      <fill>
        <patternFill>
          <bgColor theme="7" tint="0.59996337778862885"/>
        </patternFill>
      </fill>
    </dxf>
    <dxf>
      <numFmt numFmtId="0" formatCode="General"/>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bgColor theme="8" tint="0.39994506668294322"/>
        </patternFill>
      </fill>
    </dxf>
    <dxf>
      <fill>
        <patternFill>
          <bgColor theme="9" tint="0.39994506668294322"/>
        </patternFill>
      </fill>
    </dxf>
    <dxf>
      <fill>
        <patternFill>
          <bgColor theme="7" tint="0.39994506668294322"/>
        </patternFill>
      </fill>
    </dxf>
    <dxf>
      <fill>
        <patternFill>
          <bgColor rgb="FFECE71C"/>
        </patternFill>
      </fill>
    </dxf>
    <dxf>
      <fill>
        <patternFill>
          <bgColor theme="3" tint="0.59996337778862885"/>
        </patternFill>
      </fill>
    </dxf>
    <dxf>
      <fill>
        <patternFill>
          <bgColor theme="7" tint="0.59996337778862885"/>
        </patternFill>
      </fill>
    </dxf>
    <dxf>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9" tint="0.79998168889431442"/>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9"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9" tint="0.79998168889431442"/>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9"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9" tint="0.79998168889431442"/>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9"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FF7C80"/>
      <color rgb="FFFF5050"/>
      <color rgb="FFECE71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Loan Analysis.xlsx]Loan Amount Trend Analysis!PivotTable1</c:name>
    <c:fmtId val="1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Loan Amount Trend Analysis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'Loan Amount Trend Analysis'!$B$3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'Loan Amount Trend Analysis'!$A$4:$A$8</c:f>
              <c:strCache>
                <c:ptCount val="4"/>
                <c:pt idx="0">
                  <c:v>East</c:v>
                </c:pt>
                <c:pt idx="1">
                  <c:v>North</c:v>
                </c:pt>
                <c:pt idx="2">
                  <c:v>South</c:v>
                </c:pt>
                <c:pt idx="3">
                  <c:v>West</c:v>
                </c:pt>
              </c:strCache>
            </c:strRef>
          </c:cat>
          <c:val>
            <c:numRef>
              <c:f>'Loan Amount Trend Analysis'!$B$4:$B$8</c:f>
              <c:numCache>
                <c:formatCode>General</c:formatCode>
                <c:ptCount val="4"/>
                <c:pt idx="0">
                  <c:v>33788798</c:v>
                </c:pt>
                <c:pt idx="1">
                  <c:v>30510863</c:v>
                </c:pt>
                <c:pt idx="2">
                  <c:v>30948919</c:v>
                </c:pt>
                <c:pt idx="3">
                  <c:v>31946590</c:v>
                </c:pt>
              </c:numCache>
            </c:numRef>
          </c:val>
          <c:smooth val="0"/>
          <c:extLst>
            <c:ext xmlns:c16="http://schemas.microsoft.com/office/drawing/2014/chart" uri="{C3380CC4-5D6E-409C-BE32-E72D297353CC}">
              <c16:uniqueId val="{00000000-4E9D-41E7-9EEB-29D5980B163F}"/>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85385503"/>
        <c:axId val="1185382143"/>
      </c:lineChart>
      <c:catAx>
        <c:axId val="11853855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185382143"/>
        <c:crosses val="autoZero"/>
        <c:auto val="1"/>
        <c:lblAlgn val="ctr"/>
        <c:lblOffset val="100"/>
        <c:noMultiLvlLbl val="0"/>
      </c:catAx>
      <c:valAx>
        <c:axId val="1185382143"/>
        <c:scaling>
          <c:orientation val="minMax"/>
        </c:scaling>
        <c:delete val="1"/>
        <c:axPos val="l"/>
        <c:numFmt formatCode="General" sourceLinked="1"/>
        <c:majorTickMark val="none"/>
        <c:minorTickMark val="none"/>
        <c:tickLblPos val="nextTo"/>
        <c:crossAx val="118538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Loan Analysis.xlsx]Dashboard!PivotTable3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latin typeface="Times New Roman" panose="02020603050405020304" pitchFamily="18" charset="0"/>
                <a:cs typeface="Times New Roman" panose="02020603050405020304" pitchFamily="18" charset="0"/>
              </a:rPr>
              <a:t>Loan</a:t>
            </a:r>
            <a:r>
              <a:rPr lang="en-US" sz="1300" b="1" baseline="0">
                <a:latin typeface="Times New Roman" panose="02020603050405020304" pitchFamily="18" charset="0"/>
                <a:cs typeface="Times New Roman" panose="02020603050405020304" pitchFamily="18" charset="0"/>
              </a:rPr>
              <a:t> Amount By Region</a:t>
            </a:r>
            <a:endParaRPr lang="en-US" sz="13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Dashboard!$F$5</c:f>
              <c:strCache>
                <c:ptCount val="1"/>
                <c:pt idx="0">
                  <c:v>Total</c:v>
                </c:pt>
              </c:strCache>
            </c:strRef>
          </c:tx>
          <c:spPr>
            <a:solidFill>
              <a:schemeClr val="accent1"/>
            </a:solidFill>
            <a:ln>
              <a:noFill/>
            </a:ln>
            <a:effectLst/>
          </c:spPr>
          <c:invertIfNegative val="0"/>
          <c:cat>
            <c:strRef>
              <c:f>Dashboard!$E$6:$E$10</c:f>
              <c:strCache>
                <c:ptCount val="4"/>
                <c:pt idx="0">
                  <c:v>East</c:v>
                </c:pt>
                <c:pt idx="1">
                  <c:v>North</c:v>
                </c:pt>
                <c:pt idx="2">
                  <c:v>South</c:v>
                </c:pt>
                <c:pt idx="3">
                  <c:v>West</c:v>
                </c:pt>
              </c:strCache>
            </c:strRef>
          </c:cat>
          <c:val>
            <c:numRef>
              <c:f>Dashboard!$F$6:$F$10</c:f>
              <c:numCache>
                <c:formatCode>General</c:formatCode>
                <c:ptCount val="4"/>
                <c:pt idx="0">
                  <c:v>33788798</c:v>
                </c:pt>
                <c:pt idx="1">
                  <c:v>30510863</c:v>
                </c:pt>
                <c:pt idx="2">
                  <c:v>30948919</c:v>
                </c:pt>
                <c:pt idx="3">
                  <c:v>31946590</c:v>
                </c:pt>
              </c:numCache>
            </c:numRef>
          </c:val>
          <c:extLst>
            <c:ext xmlns:c16="http://schemas.microsoft.com/office/drawing/2014/chart" uri="{C3380CC4-5D6E-409C-BE32-E72D297353CC}">
              <c16:uniqueId val="{00000000-5021-4DD2-8521-340F0E573011}"/>
            </c:ext>
          </c:extLst>
        </c:ser>
        <c:dLbls>
          <c:showLegendKey val="0"/>
          <c:showVal val="0"/>
          <c:showCatName val="0"/>
          <c:showSerName val="0"/>
          <c:showPercent val="0"/>
          <c:showBubbleSize val="0"/>
        </c:dLbls>
        <c:gapWidth val="219"/>
        <c:overlap val="-27"/>
        <c:axId val="559609392"/>
        <c:axId val="910574640"/>
      </c:barChart>
      <c:catAx>
        <c:axId val="55960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574640"/>
        <c:crosses val="autoZero"/>
        <c:auto val="1"/>
        <c:lblAlgn val="ctr"/>
        <c:lblOffset val="100"/>
        <c:noMultiLvlLbl val="0"/>
      </c:catAx>
      <c:valAx>
        <c:axId val="910574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60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234950</xdr:colOff>
      <xdr:row>3</xdr:row>
      <xdr:rowOff>133350</xdr:rowOff>
    </xdr:from>
    <xdr:to>
      <xdr:col>9</xdr:col>
      <xdr:colOff>539750</xdr:colOff>
      <xdr:row>18</xdr:row>
      <xdr:rowOff>114300</xdr:rowOff>
    </xdr:to>
    <xdr:graphicFrame macro="">
      <xdr:nvGraphicFramePr>
        <xdr:cNvPr id="2" name="Chart 1">
          <a:extLst>
            <a:ext uri="{FF2B5EF4-FFF2-40B4-BE49-F238E27FC236}">
              <a16:creationId xmlns:a16="http://schemas.microsoft.com/office/drawing/2014/main" id="{AFE54E14-D73C-44EC-568D-860EC8B55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133350</xdr:colOff>
      <xdr:row>3</xdr:row>
      <xdr:rowOff>95250</xdr:rowOff>
    </xdr:from>
    <xdr:to>
      <xdr:col>10</xdr:col>
      <xdr:colOff>400050</xdr:colOff>
      <xdr:row>19</xdr:row>
      <xdr:rowOff>177800</xdr:rowOff>
    </xdr:to>
    <xdr:graphicFrame macro="">
      <xdr:nvGraphicFramePr>
        <xdr:cNvPr id="3" name="Chart 2">
          <a:extLst>
            <a:ext uri="{FF2B5EF4-FFF2-40B4-BE49-F238E27FC236}">
              <a16:creationId xmlns:a16="http://schemas.microsoft.com/office/drawing/2014/main" id="{8B81E633-404B-5583-9823-CFAABFF0FA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4</xdr:row>
      <xdr:rowOff>69851</xdr:rowOff>
    </xdr:from>
    <xdr:to>
      <xdr:col>14</xdr:col>
      <xdr:colOff>0</xdr:colOff>
      <xdr:row>12</xdr:row>
      <xdr:rowOff>19051</xdr:rowOff>
    </xdr:to>
    <mc:AlternateContent xmlns:mc="http://schemas.openxmlformats.org/markup-compatibility/2006" xmlns:a14="http://schemas.microsoft.com/office/drawing/2010/main">
      <mc:Choice Requires="a14">
        <xdr:graphicFrame macro="">
          <xdr:nvGraphicFramePr>
            <xdr:cNvPr id="4" name="Loan_Status">
              <a:extLst>
                <a:ext uri="{FF2B5EF4-FFF2-40B4-BE49-F238E27FC236}">
                  <a16:creationId xmlns:a16="http://schemas.microsoft.com/office/drawing/2014/main" id="{771746EF-B580-995A-8A2D-09A45E065C58}"/>
                </a:ext>
              </a:extLst>
            </xdr:cNvPr>
            <xdr:cNvGraphicFramePr/>
          </xdr:nvGraphicFramePr>
          <xdr:xfrm>
            <a:off x="0" y="0"/>
            <a:ext cx="0" cy="0"/>
          </xdr:xfrm>
          <a:graphic>
            <a:graphicData uri="http://schemas.microsoft.com/office/drawing/2010/slicer">
              <sle:slicer xmlns:sle="http://schemas.microsoft.com/office/drawing/2010/slicer" name="Loan_Status"/>
            </a:graphicData>
          </a:graphic>
        </xdr:graphicFrame>
      </mc:Choice>
      <mc:Fallback xmlns="">
        <xdr:sp macro="" textlink="">
          <xdr:nvSpPr>
            <xdr:cNvPr id="0" name=""/>
            <xdr:cNvSpPr>
              <a:spLocks noTextEdit="1"/>
            </xdr:cNvSpPr>
          </xdr:nvSpPr>
          <xdr:spPr>
            <a:xfrm>
              <a:off x="7651750" y="914401"/>
              <a:ext cx="1828800" cy="1511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88900</xdr:colOff>
      <xdr:row>4</xdr:row>
      <xdr:rowOff>69850</xdr:rowOff>
    </xdr:from>
    <xdr:to>
      <xdr:col>17</xdr:col>
      <xdr:colOff>88900</xdr:colOff>
      <xdr:row>12</xdr:row>
      <xdr:rowOff>47625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00009BDB-B571-2D5F-E47E-95372A5C26A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69450" y="914400"/>
              <a:ext cx="1828800" cy="153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uthika M Patil" refreshedDate="46175.775143402781" createdVersion="8" refreshedVersion="8" minRefreshableVersion="3" recordCount="500" xr:uid="{ED7890CA-7A85-4415-8C12-1ED8827C2914}">
  <cacheSource type="worksheet">
    <worksheetSource name="Table1"/>
  </cacheSource>
  <cacheFields count="11">
    <cacheField name="Customer_ID" numFmtId="0">
      <sharedItems containsSemiMixedTypes="0" containsString="0" containsNumber="1" containsInteger="1" minValue="1" maxValue="500"/>
    </cacheField>
    <cacheField name="Customer_Name" numFmtId="0">
      <sharedItems/>
    </cacheField>
    <cacheField name="Gender" numFmtId="0">
      <sharedItems/>
    </cacheField>
    <cacheField name="Education" numFmtId="0">
      <sharedItems/>
    </cacheField>
    <cacheField name="Income" numFmtId="0">
      <sharedItems containsSemiMixedTypes="0" containsString="0" containsNumber="1" containsInteger="1" minValue="20387" maxValue="119562"/>
    </cacheField>
    <cacheField name="Loan_Amount" numFmtId="0">
      <sharedItems containsSemiMixedTypes="0" containsString="0" containsNumber="1" containsInteger="1" minValue="6175" maxValue="499413"/>
    </cacheField>
    <cacheField name="Loan_Status" numFmtId="0">
      <sharedItems count="2">
        <s v="Approved"/>
        <s v="Rejected"/>
      </sharedItems>
    </cacheField>
    <cacheField name="Region" numFmtId="0">
      <sharedItems count="4">
        <s v="South"/>
        <s v="North"/>
        <s v="East"/>
        <s v="West"/>
      </sharedItems>
    </cacheField>
    <cacheField name="Credit_Score" numFmtId="0">
      <sharedItems containsSemiMixedTypes="0" containsString="0" containsNumber="1" containsInteger="1" minValue="300" maxValue="899"/>
    </cacheField>
    <cacheField name="Employment_Type" numFmtId="0">
      <sharedItems/>
    </cacheField>
    <cacheField name="Income Category" numFmtId="0">
      <sharedItems/>
    </cacheField>
  </cacheFields>
  <extLst>
    <ext xmlns:x14="http://schemas.microsoft.com/office/spreadsheetml/2009/9/main" uri="{725AE2AE-9491-48be-B2B4-4EB974FC3084}">
      <x14:pivotCacheDefinition pivotCacheId="5187812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s v="Mrs. Molly Jones MD"/>
    <s v="Male"/>
    <s v="High School"/>
    <n v="88372"/>
    <n v="330961"/>
    <x v="0"/>
    <x v="0"/>
    <n v="744"/>
    <s v="Salaried"/>
    <s v="High Income"/>
  </r>
  <r>
    <n v="2"/>
    <s v="Dr. Luis Adams"/>
    <s v="Female"/>
    <s v="Post Graduate"/>
    <n v="119257"/>
    <n v="262727"/>
    <x v="0"/>
    <x v="1"/>
    <n v="642"/>
    <s v="Salaried"/>
    <s v="High Income"/>
  </r>
  <r>
    <n v="3"/>
    <s v="Patricia Nielsen"/>
    <s v="Female"/>
    <s v="Graduate"/>
    <n v="81217"/>
    <n v="472394"/>
    <x v="1"/>
    <x v="2"/>
    <n v="482"/>
    <s v="Business"/>
    <s v="High Income"/>
  </r>
  <r>
    <n v="4"/>
    <s v="Audrey Russell"/>
    <s v="Male"/>
    <s v="High School"/>
    <n v="117486"/>
    <n v="264501"/>
    <x v="0"/>
    <x v="3"/>
    <n v="306"/>
    <s v="Salaried"/>
    <s v="High Income"/>
  </r>
  <r>
    <n v="5"/>
    <s v="Dr. Eric Berry"/>
    <s v="Male"/>
    <s v="High School"/>
    <n v="97590"/>
    <n v="70297"/>
    <x v="1"/>
    <x v="0"/>
    <n v="515"/>
    <s v="Salaried"/>
    <s v="High Income"/>
  </r>
  <r>
    <n v="6"/>
    <s v="Lindsey Day"/>
    <s v="Male"/>
    <s v="Post Graduate"/>
    <n v="61361"/>
    <n v="445854"/>
    <x v="1"/>
    <x v="1"/>
    <n v="602"/>
    <s v="Salaried"/>
    <s v="Medium Income"/>
  </r>
  <r>
    <n v="7"/>
    <s v="Anne Meadows"/>
    <s v="Male"/>
    <s v="Post Graduate"/>
    <n v="96742"/>
    <n v="468230"/>
    <x v="1"/>
    <x v="3"/>
    <n v="458"/>
    <s v="Salaried"/>
    <s v="High Income"/>
  </r>
  <r>
    <n v="8"/>
    <s v="Bailey Brown"/>
    <s v="Female"/>
    <s v="Graduate"/>
    <n v="63391"/>
    <n v="178896"/>
    <x v="0"/>
    <x v="1"/>
    <n v="444"/>
    <s v="Salaried"/>
    <s v="Medium Income"/>
  </r>
  <r>
    <n v="9"/>
    <s v="Laura Tucker"/>
    <s v="Female"/>
    <s v="High School"/>
    <n v="47429"/>
    <n v="86835"/>
    <x v="0"/>
    <x v="2"/>
    <n v="859"/>
    <s v="Self-Employed"/>
    <s v="Low Income"/>
  </r>
  <r>
    <n v="10"/>
    <s v="Nancy Dillon"/>
    <s v="Male"/>
    <s v="Graduate"/>
    <n v="44420"/>
    <n v="167749"/>
    <x v="1"/>
    <x v="2"/>
    <n v="450"/>
    <s v="Self-Employed"/>
    <s v="Low Income"/>
  </r>
  <r>
    <n v="11"/>
    <s v="Monique Wyatt"/>
    <s v="Male"/>
    <s v="Post Graduate"/>
    <n v="66843"/>
    <n v="204617"/>
    <x v="0"/>
    <x v="0"/>
    <n v="552"/>
    <s v="Business"/>
    <s v="Medium Income"/>
  </r>
  <r>
    <n v="12"/>
    <s v="Margaret Carter"/>
    <s v="Male"/>
    <s v="Post Graduate"/>
    <n v="93528"/>
    <n v="317139"/>
    <x v="0"/>
    <x v="3"/>
    <n v="818"/>
    <s v="Self-Employed"/>
    <s v="High Income"/>
  </r>
  <r>
    <n v="13"/>
    <s v="Laura Parker"/>
    <s v="Female"/>
    <s v="Post Graduate"/>
    <n v="42867"/>
    <n v="197688"/>
    <x v="1"/>
    <x v="0"/>
    <n v="768"/>
    <s v="Salaried"/>
    <s v="Low Income"/>
  </r>
  <r>
    <n v="14"/>
    <s v="Lisa Bates"/>
    <s v="Male"/>
    <s v="High School"/>
    <n v="49709"/>
    <n v="198807"/>
    <x v="1"/>
    <x v="0"/>
    <n v="651"/>
    <s v="Salaried"/>
    <s v="Low Income"/>
  </r>
  <r>
    <n v="15"/>
    <s v="Jordan Velasquez"/>
    <s v="Male"/>
    <s v="High School"/>
    <n v="106712"/>
    <n v="43457"/>
    <x v="1"/>
    <x v="1"/>
    <n v="640"/>
    <s v="Business"/>
    <s v="High Income"/>
  </r>
  <r>
    <n v="16"/>
    <s v="Joshua Thomas"/>
    <s v="Female"/>
    <s v="High School"/>
    <n v="76673"/>
    <n v="303281"/>
    <x v="0"/>
    <x v="0"/>
    <n v="473"/>
    <s v="Business"/>
    <s v="Medium Income"/>
  </r>
  <r>
    <n v="17"/>
    <s v="Alicia Smith"/>
    <s v="Male"/>
    <s v="High School"/>
    <n v="110192"/>
    <n v="471520"/>
    <x v="1"/>
    <x v="2"/>
    <n v="709"/>
    <s v="Self-Employed"/>
    <s v="High Income"/>
  </r>
  <r>
    <n v="18"/>
    <s v="Nathan Brooks"/>
    <s v="Male"/>
    <s v="Graduate"/>
    <n v="45357"/>
    <n v="274600"/>
    <x v="1"/>
    <x v="3"/>
    <n v="740"/>
    <s v="Business"/>
    <s v="Low Income"/>
  </r>
  <r>
    <n v="19"/>
    <s v="Richard Young"/>
    <s v="Female"/>
    <s v="Post Graduate"/>
    <n v="47249"/>
    <n v="439148"/>
    <x v="0"/>
    <x v="3"/>
    <n v="463"/>
    <s v="Business"/>
    <s v="Low Income"/>
  </r>
  <r>
    <n v="20"/>
    <s v="Dustin Gallegos"/>
    <s v="Female"/>
    <s v="Post Graduate"/>
    <n v="21385"/>
    <n v="131933"/>
    <x v="1"/>
    <x v="1"/>
    <n v="438"/>
    <s v="Business"/>
    <s v="Low Income"/>
  </r>
  <r>
    <n v="21"/>
    <s v="Cassie Stewart"/>
    <s v="Female"/>
    <s v="High School"/>
    <n v="101753"/>
    <n v="239191"/>
    <x v="1"/>
    <x v="3"/>
    <n v="802"/>
    <s v="Salaried"/>
    <s v="High Income"/>
  </r>
  <r>
    <n v="22"/>
    <s v="Daniel Cain"/>
    <s v="Male"/>
    <s v="Graduate"/>
    <n v="105371"/>
    <n v="162207"/>
    <x v="0"/>
    <x v="3"/>
    <n v="543"/>
    <s v="Self-Employed"/>
    <s v="High Income"/>
  </r>
  <r>
    <n v="23"/>
    <s v="Steven Mccall"/>
    <s v="Male"/>
    <s v="High School"/>
    <n v="69527"/>
    <n v="110559"/>
    <x v="1"/>
    <x v="0"/>
    <n v="611"/>
    <s v="Salaried"/>
    <s v="Medium Income"/>
  </r>
  <r>
    <n v="24"/>
    <s v="Martha Harrison"/>
    <s v="Female"/>
    <s v="High School"/>
    <n v="48267"/>
    <n v="233342"/>
    <x v="1"/>
    <x v="2"/>
    <n v="836"/>
    <s v="Self-Employed"/>
    <s v="Low Income"/>
  </r>
  <r>
    <n v="25"/>
    <s v="Angela Wright"/>
    <s v="Female"/>
    <s v="High School"/>
    <n v="79848"/>
    <n v="245354"/>
    <x v="0"/>
    <x v="0"/>
    <n v="435"/>
    <s v="Self-Employed"/>
    <s v="Medium Income"/>
  </r>
  <r>
    <n v="26"/>
    <s v="Rhonda Brown"/>
    <s v="Female"/>
    <s v="High School"/>
    <n v="60201"/>
    <n v="262823"/>
    <x v="1"/>
    <x v="3"/>
    <n v="716"/>
    <s v="Self-Employed"/>
    <s v="Medium Income"/>
  </r>
  <r>
    <n v="27"/>
    <s v="William Turner"/>
    <s v="Male"/>
    <s v="Graduate"/>
    <n v="33503"/>
    <n v="333755"/>
    <x v="1"/>
    <x v="0"/>
    <n v="301"/>
    <s v="Business"/>
    <s v="Low Income"/>
  </r>
  <r>
    <n v="28"/>
    <s v="Patricia Ho"/>
    <s v="Male"/>
    <s v="Post Graduate"/>
    <n v="104701"/>
    <n v="473056"/>
    <x v="1"/>
    <x v="3"/>
    <n v="437"/>
    <s v="Self-Employed"/>
    <s v="High Income"/>
  </r>
  <r>
    <n v="29"/>
    <s v="Julie Gonzalez"/>
    <s v="Female"/>
    <s v="High School"/>
    <n v="32615"/>
    <n v="11667"/>
    <x v="0"/>
    <x v="3"/>
    <n v="361"/>
    <s v="Self-Employed"/>
    <s v="Low Income"/>
  </r>
  <r>
    <n v="30"/>
    <s v="Ronald Hall"/>
    <s v="Male"/>
    <s v="Graduate"/>
    <n v="76888"/>
    <n v="197307"/>
    <x v="1"/>
    <x v="3"/>
    <n v="658"/>
    <s v="Business"/>
    <s v="Medium Income"/>
  </r>
  <r>
    <n v="31"/>
    <s v="Breanna Howard"/>
    <s v="Female"/>
    <s v="Graduate"/>
    <n v="76796"/>
    <n v="137508"/>
    <x v="0"/>
    <x v="0"/>
    <n v="846"/>
    <s v="Business"/>
    <s v="Medium Income"/>
  </r>
  <r>
    <n v="32"/>
    <s v="Jennifer Thomas"/>
    <s v="Female"/>
    <s v="High School"/>
    <n v="114070"/>
    <n v="131899"/>
    <x v="1"/>
    <x v="2"/>
    <n v="582"/>
    <s v="Salaried"/>
    <s v="High Income"/>
  </r>
  <r>
    <n v="33"/>
    <s v="Lawrence Mason"/>
    <s v="Female"/>
    <s v="Post Graduate"/>
    <n v="94910"/>
    <n v="477946"/>
    <x v="0"/>
    <x v="3"/>
    <n v="586"/>
    <s v="Self-Employed"/>
    <s v="High Income"/>
  </r>
  <r>
    <n v="34"/>
    <s v="Melissa Harvey"/>
    <s v="Male"/>
    <s v="High School"/>
    <n v="58213"/>
    <n v="356278"/>
    <x v="0"/>
    <x v="2"/>
    <n v="720"/>
    <s v="Self-Employed"/>
    <s v="Medium Income"/>
  </r>
  <r>
    <n v="35"/>
    <s v="Samantha Taylor"/>
    <s v="Male"/>
    <s v="Graduate"/>
    <n v="113345"/>
    <n v="481443"/>
    <x v="0"/>
    <x v="2"/>
    <n v="770"/>
    <s v="Salaried"/>
    <s v="High Income"/>
  </r>
  <r>
    <n v="36"/>
    <s v="Kyle Jones"/>
    <s v="Male"/>
    <s v="Graduate"/>
    <n v="75488"/>
    <n v="69564"/>
    <x v="0"/>
    <x v="0"/>
    <n v="562"/>
    <s v="Business"/>
    <s v="Medium Income"/>
  </r>
  <r>
    <n v="37"/>
    <s v="Marcus Garcia"/>
    <s v="Female"/>
    <s v="Post Graduate"/>
    <n v="29420"/>
    <n v="486089"/>
    <x v="0"/>
    <x v="2"/>
    <n v="408"/>
    <s v="Self-Employed"/>
    <s v="Low Income"/>
  </r>
  <r>
    <n v="38"/>
    <s v="Lauren Clarke"/>
    <s v="Female"/>
    <s v="High School"/>
    <n v="53064"/>
    <n v="445466"/>
    <x v="0"/>
    <x v="3"/>
    <n v="715"/>
    <s v="Salaried"/>
    <s v="Medium Income"/>
  </r>
  <r>
    <n v="39"/>
    <s v="David Lozano"/>
    <s v="Male"/>
    <s v="Graduate"/>
    <n v="37061"/>
    <n v="91427"/>
    <x v="0"/>
    <x v="2"/>
    <n v="367"/>
    <s v="Self-Employed"/>
    <s v="Low Income"/>
  </r>
  <r>
    <n v="40"/>
    <s v="Cindy Martin"/>
    <s v="Male"/>
    <s v="Graduate"/>
    <n v="111728"/>
    <n v="251615"/>
    <x v="0"/>
    <x v="0"/>
    <n v="798"/>
    <s v="Business"/>
    <s v="High Income"/>
  </r>
  <r>
    <n v="41"/>
    <s v="Bailey Osborn"/>
    <s v="Male"/>
    <s v="High School"/>
    <n v="89585"/>
    <n v="428976"/>
    <x v="1"/>
    <x v="3"/>
    <n v="572"/>
    <s v="Business"/>
    <s v="High Income"/>
  </r>
  <r>
    <n v="42"/>
    <s v="Julie Simmons"/>
    <s v="Male"/>
    <s v="High School"/>
    <n v="94545"/>
    <n v="404063"/>
    <x v="1"/>
    <x v="1"/>
    <n v="765"/>
    <s v="Business"/>
    <s v="High Income"/>
  </r>
  <r>
    <n v="43"/>
    <s v="Roger Nguyen"/>
    <s v="Male"/>
    <s v="Graduate"/>
    <n v="40814"/>
    <n v="245799"/>
    <x v="0"/>
    <x v="1"/>
    <n v="411"/>
    <s v="Business"/>
    <s v="Low Income"/>
  </r>
  <r>
    <n v="44"/>
    <s v="Brian Richardson"/>
    <s v="Female"/>
    <s v="High School"/>
    <n v="109981"/>
    <n v="50312"/>
    <x v="1"/>
    <x v="1"/>
    <n v="536"/>
    <s v="Salaried"/>
    <s v="High Income"/>
  </r>
  <r>
    <n v="45"/>
    <s v="John Caldwell"/>
    <s v="Female"/>
    <s v="High School"/>
    <n v="22460"/>
    <n v="379279"/>
    <x v="1"/>
    <x v="0"/>
    <n v="603"/>
    <s v="Business"/>
    <s v="Low Income"/>
  </r>
  <r>
    <n v="46"/>
    <s v="Mr. James Little"/>
    <s v="Female"/>
    <s v="Graduate"/>
    <n v="101563"/>
    <n v="332211"/>
    <x v="1"/>
    <x v="1"/>
    <n v="885"/>
    <s v="Business"/>
    <s v="High Income"/>
  </r>
  <r>
    <n v="47"/>
    <s v="Stephen Wilson"/>
    <s v="Female"/>
    <s v="Graduate"/>
    <n v="96035"/>
    <n v="483226"/>
    <x v="1"/>
    <x v="2"/>
    <n v="899"/>
    <s v="Self-Employed"/>
    <s v="High Income"/>
  </r>
  <r>
    <n v="48"/>
    <s v="Jessica Richards"/>
    <s v="Male"/>
    <s v="High School"/>
    <n v="91349"/>
    <n v="449991"/>
    <x v="1"/>
    <x v="3"/>
    <n v="431"/>
    <s v="Self-Employed"/>
    <s v="High Income"/>
  </r>
  <r>
    <n v="49"/>
    <s v="Shane Hernandez"/>
    <s v="Male"/>
    <s v="Post Graduate"/>
    <n v="69915"/>
    <n v="404383"/>
    <x v="1"/>
    <x v="1"/>
    <n v="680"/>
    <s v="Self-Employed"/>
    <s v="Medium Income"/>
  </r>
  <r>
    <n v="50"/>
    <s v="Nichole Spears"/>
    <s v="Male"/>
    <s v="Post Graduate"/>
    <n v="23768"/>
    <n v="354734"/>
    <x v="0"/>
    <x v="3"/>
    <n v="666"/>
    <s v="Self-Employed"/>
    <s v="Low Income"/>
  </r>
  <r>
    <n v="51"/>
    <s v="Donald Wilson"/>
    <s v="Male"/>
    <s v="High School"/>
    <n v="36370"/>
    <n v="492070"/>
    <x v="0"/>
    <x v="2"/>
    <n v="681"/>
    <s v="Salaried"/>
    <s v="Low Income"/>
  </r>
  <r>
    <n v="52"/>
    <s v="Phillip Davidson"/>
    <s v="Female"/>
    <s v="Graduate"/>
    <n v="24849"/>
    <n v="413563"/>
    <x v="1"/>
    <x v="0"/>
    <n v="729"/>
    <s v="Salaried"/>
    <s v="Low Income"/>
  </r>
  <r>
    <n v="53"/>
    <s v="Cody Hanna"/>
    <s v="Female"/>
    <s v="Graduate"/>
    <n v="108297"/>
    <n v="17991"/>
    <x v="1"/>
    <x v="2"/>
    <n v="800"/>
    <s v="Salaried"/>
    <s v="High Income"/>
  </r>
  <r>
    <n v="54"/>
    <s v="Cynthia Wong"/>
    <s v="Male"/>
    <s v="Post Graduate"/>
    <n v="47804"/>
    <n v="227530"/>
    <x v="0"/>
    <x v="0"/>
    <n v="391"/>
    <s v="Salaried"/>
    <s v="Low Income"/>
  </r>
  <r>
    <n v="55"/>
    <s v="Brittany Clarke"/>
    <s v="Female"/>
    <s v="Post Graduate"/>
    <n v="116244"/>
    <n v="142701"/>
    <x v="1"/>
    <x v="1"/>
    <n v="519"/>
    <s v="Salaried"/>
    <s v="High Income"/>
  </r>
  <r>
    <n v="56"/>
    <s v="Elizabeth Lee"/>
    <s v="Female"/>
    <s v="Graduate"/>
    <n v="59802"/>
    <n v="203804"/>
    <x v="1"/>
    <x v="0"/>
    <n v="413"/>
    <s v="Business"/>
    <s v="Medium Income"/>
  </r>
  <r>
    <n v="57"/>
    <s v="Robert Dunn"/>
    <s v="Female"/>
    <s v="Post Graduate"/>
    <n v="107161"/>
    <n v="105235"/>
    <x v="1"/>
    <x v="1"/>
    <n v="626"/>
    <s v="Business"/>
    <s v="High Income"/>
  </r>
  <r>
    <n v="58"/>
    <s v="Adam Warren"/>
    <s v="Male"/>
    <s v="Post Graduate"/>
    <n v="95518"/>
    <n v="221010"/>
    <x v="1"/>
    <x v="3"/>
    <n v="532"/>
    <s v="Business"/>
    <s v="High Income"/>
  </r>
  <r>
    <n v="59"/>
    <s v="Beth Castillo"/>
    <s v="Male"/>
    <s v="Post Graduate"/>
    <n v="62457"/>
    <n v="470446"/>
    <x v="0"/>
    <x v="3"/>
    <n v="695"/>
    <s v="Business"/>
    <s v="Medium Income"/>
  </r>
  <r>
    <n v="60"/>
    <s v="Michael Dickerson"/>
    <s v="Male"/>
    <s v="Graduate"/>
    <n v="72823"/>
    <n v="272637"/>
    <x v="0"/>
    <x v="1"/>
    <n v="503"/>
    <s v="Business"/>
    <s v="Medium Income"/>
  </r>
  <r>
    <n v="61"/>
    <s v="Emily Moore"/>
    <s v="Male"/>
    <s v="Graduate"/>
    <n v="58047"/>
    <n v="450660"/>
    <x v="0"/>
    <x v="1"/>
    <n v="408"/>
    <s v="Salaried"/>
    <s v="Medium Income"/>
  </r>
  <r>
    <n v="62"/>
    <s v="Adam Moore"/>
    <s v="Male"/>
    <s v="High School"/>
    <n v="119261"/>
    <n v="150352"/>
    <x v="0"/>
    <x v="1"/>
    <n v="315"/>
    <s v="Self-Employed"/>
    <s v="High Income"/>
  </r>
  <r>
    <n v="63"/>
    <s v="Nicholas Fowler"/>
    <s v="Female"/>
    <s v="Graduate"/>
    <n v="22827"/>
    <n v="388459"/>
    <x v="0"/>
    <x v="2"/>
    <n v="657"/>
    <s v="Salaried"/>
    <s v="Low Income"/>
  </r>
  <r>
    <n v="64"/>
    <s v="Kimberly Osborn"/>
    <s v="Male"/>
    <s v="High School"/>
    <n v="97801"/>
    <n v="68583"/>
    <x v="0"/>
    <x v="3"/>
    <n v="705"/>
    <s v="Salaried"/>
    <s v="High Income"/>
  </r>
  <r>
    <n v="65"/>
    <s v="Tony Carpenter"/>
    <s v="Female"/>
    <s v="Graduate"/>
    <n v="40769"/>
    <n v="121955"/>
    <x v="1"/>
    <x v="1"/>
    <n v="515"/>
    <s v="Salaried"/>
    <s v="Low Income"/>
  </r>
  <r>
    <n v="66"/>
    <s v="Susan Lee"/>
    <s v="Female"/>
    <s v="Post Graduate"/>
    <n v="42831"/>
    <n v="320984"/>
    <x v="1"/>
    <x v="0"/>
    <n v="567"/>
    <s v="Salaried"/>
    <s v="Low Income"/>
  </r>
  <r>
    <n v="67"/>
    <s v="Christine Williams"/>
    <s v="Female"/>
    <s v="Graduate"/>
    <n v="89310"/>
    <n v="322754"/>
    <x v="1"/>
    <x v="0"/>
    <n v="628"/>
    <s v="Business"/>
    <s v="High Income"/>
  </r>
  <r>
    <n v="68"/>
    <s v="Daniel Hill"/>
    <s v="Female"/>
    <s v="Post Graduate"/>
    <n v="101211"/>
    <n v="373107"/>
    <x v="1"/>
    <x v="1"/>
    <n v="838"/>
    <s v="Self-Employed"/>
    <s v="High Income"/>
  </r>
  <r>
    <n v="69"/>
    <s v="Cindy Ramirez"/>
    <s v="Male"/>
    <s v="Post Graduate"/>
    <n v="25855"/>
    <n v="370155"/>
    <x v="1"/>
    <x v="0"/>
    <n v="813"/>
    <s v="Business"/>
    <s v="Low Income"/>
  </r>
  <r>
    <n v="70"/>
    <s v="Christopher Simmons"/>
    <s v="Male"/>
    <s v="Graduate"/>
    <n v="68506"/>
    <n v="165891"/>
    <x v="0"/>
    <x v="2"/>
    <n v="396"/>
    <s v="Self-Employed"/>
    <s v="Medium Income"/>
  </r>
  <r>
    <n v="71"/>
    <s v="Guy Ray"/>
    <s v="Female"/>
    <s v="Post Graduate"/>
    <n v="78627"/>
    <n v="438372"/>
    <x v="0"/>
    <x v="2"/>
    <n v="649"/>
    <s v="Business"/>
    <s v="Medium Income"/>
  </r>
  <r>
    <n v="72"/>
    <s v="Alison Cole"/>
    <s v="Female"/>
    <s v="High School"/>
    <n v="80609"/>
    <n v="22323"/>
    <x v="0"/>
    <x v="2"/>
    <n v="664"/>
    <s v="Self-Employed"/>
    <s v="High Income"/>
  </r>
  <r>
    <n v="73"/>
    <s v="Dr. Kelly Davies"/>
    <s v="Male"/>
    <s v="High School"/>
    <n v="81124"/>
    <n v="9317"/>
    <x v="1"/>
    <x v="3"/>
    <n v="527"/>
    <s v="Self-Employed"/>
    <s v="High Income"/>
  </r>
  <r>
    <n v="74"/>
    <s v="Calvin Short"/>
    <s v="Male"/>
    <s v="Graduate"/>
    <n v="50703"/>
    <n v="448003"/>
    <x v="0"/>
    <x v="0"/>
    <n v="492"/>
    <s v="Salaried"/>
    <s v="Medium Income"/>
  </r>
  <r>
    <n v="75"/>
    <s v="Antonio Thomas"/>
    <s v="Male"/>
    <s v="High School"/>
    <n v="105298"/>
    <n v="43573"/>
    <x v="1"/>
    <x v="2"/>
    <n v="420"/>
    <s v="Self-Employed"/>
    <s v="High Income"/>
  </r>
  <r>
    <n v="76"/>
    <s v="Karla Calhoun"/>
    <s v="Male"/>
    <s v="Graduate"/>
    <n v="115180"/>
    <n v="91820"/>
    <x v="0"/>
    <x v="3"/>
    <n v="885"/>
    <s v="Self-Employed"/>
    <s v="High Income"/>
  </r>
  <r>
    <n v="77"/>
    <s v="Bradley Webster"/>
    <s v="Female"/>
    <s v="Post Graduate"/>
    <n v="113423"/>
    <n v="314944"/>
    <x v="1"/>
    <x v="0"/>
    <n v="874"/>
    <s v="Business"/>
    <s v="High Income"/>
  </r>
  <r>
    <n v="78"/>
    <s v="April Holder"/>
    <s v="Female"/>
    <s v="High School"/>
    <n v="39439"/>
    <n v="117717"/>
    <x v="0"/>
    <x v="3"/>
    <n v="743"/>
    <s v="Self-Employed"/>
    <s v="Low Income"/>
  </r>
  <r>
    <n v="79"/>
    <s v="Anna Aguilar"/>
    <s v="Male"/>
    <s v="Graduate"/>
    <n v="112819"/>
    <n v="52136"/>
    <x v="0"/>
    <x v="1"/>
    <n v="308"/>
    <s v="Self-Employed"/>
    <s v="High Income"/>
  </r>
  <r>
    <n v="80"/>
    <s v="Jermaine Ward"/>
    <s v="Male"/>
    <s v="Post Graduate"/>
    <n v="82560"/>
    <n v="281509"/>
    <x v="0"/>
    <x v="2"/>
    <n v="592"/>
    <s v="Self-Employed"/>
    <s v="High Income"/>
  </r>
  <r>
    <n v="81"/>
    <s v="Andrea Cooper"/>
    <s v="Male"/>
    <s v="High School"/>
    <n v="38554"/>
    <n v="127501"/>
    <x v="0"/>
    <x v="0"/>
    <n v="536"/>
    <s v="Business"/>
    <s v="Low Income"/>
  </r>
  <r>
    <n v="82"/>
    <s v="Charles Ferguson"/>
    <s v="Female"/>
    <s v="Graduate"/>
    <n v="72209"/>
    <n v="186985"/>
    <x v="1"/>
    <x v="1"/>
    <n v="636"/>
    <s v="Business"/>
    <s v="Medium Income"/>
  </r>
  <r>
    <n v="83"/>
    <s v="Joseph Crawford"/>
    <s v="Female"/>
    <s v="High School"/>
    <n v="91508"/>
    <n v="78301"/>
    <x v="1"/>
    <x v="2"/>
    <n v="652"/>
    <s v="Salaried"/>
    <s v="High Income"/>
  </r>
  <r>
    <n v="84"/>
    <s v="Justin Lambert"/>
    <s v="Male"/>
    <s v="High School"/>
    <n v="52314"/>
    <n v="183214"/>
    <x v="1"/>
    <x v="0"/>
    <n v="610"/>
    <s v="Self-Employed"/>
    <s v="Medium Income"/>
  </r>
  <r>
    <n v="85"/>
    <s v="Christopher Davies"/>
    <s v="Male"/>
    <s v="Graduate"/>
    <n v="71129"/>
    <n v="137279"/>
    <x v="0"/>
    <x v="3"/>
    <n v="382"/>
    <s v="Business"/>
    <s v="Medium Income"/>
  </r>
  <r>
    <n v="86"/>
    <s v="Kristy Eaton"/>
    <s v="Female"/>
    <s v="High School"/>
    <n v="39618"/>
    <n v="218478"/>
    <x v="0"/>
    <x v="0"/>
    <n v="382"/>
    <s v="Self-Employed"/>
    <s v="Low Income"/>
  </r>
  <r>
    <n v="87"/>
    <s v="Victoria Scott"/>
    <s v="Female"/>
    <s v="Post Graduate"/>
    <n v="47035"/>
    <n v="480654"/>
    <x v="1"/>
    <x v="3"/>
    <n v="514"/>
    <s v="Business"/>
    <s v="Low Income"/>
  </r>
  <r>
    <n v="88"/>
    <s v="Robert Phillips"/>
    <s v="Male"/>
    <s v="Graduate"/>
    <n v="84339"/>
    <n v="307378"/>
    <x v="1"/>
    <x v="0"/>
    <n v="407"/>
    <s v="Business"/>
    <s v="High Income"/>
  </r>
  <r>
    <n v="89"/>
    <s v="Jessica Hunt"/>
    <s v="Male"/>
    <s v="High School"/>
    <n v="56209"/>
    <n v="178419"/>
    <x v="1"/>
    <x v="2"/>
    <n v="609"/>
    <s v="Business"/>
    <s v="Medium Income"/>
  </r>
  <r>
    <n v="90"/>
    <s v="Vicki Adams"/>
    <s v="Female"/>
    <s v="Graduate"/>
    <n v="70693"/>
    <n v="203386"/>
    <x v="1"/>
    <x v="2"/>
    <n v="338"/>
    <s v="Salaried"/>
    <s v="Medium Income"/>
  </r>
  <r>
    <n v="91"/>
    <s v="Philip Johnson"/>
    <s v="Female"/>
    <s v="Post Graduate"/>
    <n v="94953"/>
    <n v="455236"/>
    <x v="0"/>
    <x v="1"/>
    <n v="784"/>
    <s v="Business"/>
    <s v="High Income"/>
  </r>
  <r>
    <n v="92"/>
    <s v="Mary Martin"/>
    <s v="Female"/>
    <s v="Post Graduate"/>
    <n v="119142"/>
    <n v="283594"/>
    <x v="0"/>
    <x v="2"/>
    <n v="612"/>
    <s v="Salaried"/>
    <s v="High Income"/>
  </r>
  <r>
    <n v="93"/>
    <s v="Shane Martinez"/>
    <s v="Female"/>
    <s v="Graduate"/>
    <n v="35399"/>
    <n v="375292"/>
    <x v="0"/>
    <x v="2"/>
    <n v="301"/>
    <s v="Salaried"/>
    <s v="Low Income"/>
  </r>
  <r>
    <n v="94"/>
    <s v="Mark Christensen"/>
    <s v="Male"/>
    <s v="High School"/>
    <n v="99922"/>
    <n v="361161"/>
    <x v="0"/>
    <x v="1"/>
    <n v="471"/>
    <s v="Business"/>
    <s v="High Income"/>
  </r>
  <r>
    <n v="95"/>
    <s v="Annette Bennett"/>
    <s v="Male"/>
    <s v="Post Graduate"/>
    <n v="67224"/>
    <n v="139082"/>
    <x v="1"/>
    <x v="3"/>
    <n v="507"/>
    <s v="Business"/>
    <s v="Medium Income"/>
  </r>
  <r>
    <n v="96"/>
    <s v="Ashley Burke"/>
    <s v="Male"/>
    <s v="High School"/>
    <n v="63528"/>
    <n v="153607"/>
    <x v="0"/>
    <x v="2"/>
    <n v="633"/>
    <s v="Self-Employed"/>
    <s v="Medium Income"/>
  </r>
  <r>
    <n v="97"/>
    <s v="Morgan Ruiz"/>
    <s v="Female"/>
    <s v="High School"/>
    <n v="29258"/>
    <n v="171037"/>
    <x v="1"/>
    <x v="3"/>
    <n v="706"/>
    <s v="Business"/>
    <s v="Low Income"/>
  </r>
  <r>
    <n v="98"/>
    <s v="Kelly Schmidt"/>
    <s v="Male"/>
    <s v="Graduate"/>
    <n v="99056"/>
    <n v="146347"/>
    <x v="1"/>
    <x v="0"/>
    <n v="589"/>
    <s v="Salaried"/>
    <s v="High Income"/>
  </r>
  <r>
    <n v="99"/>
    <s v="Miguel Cochran"/>
    <s v="Male"/>
    <s v="Post Graduate"/>
    <n v="96952"/>
    <n v="374299"/>
    <x v="0"/>
    <x v="0"/>
    <n v="640"/>
    <s v="Business"/>
    <s v="High Income"/>
  </r>
  <r>
    <n v="100"/>
    <s v="Bryan Browning"/>
    <s v="Male"/>
    <s v="Graduate"/>
    <n v="89395"/>
    <n v="191396"/>
    <x v="1"/>
    <x v="2"/>
    <n v="325"/>
    <s v="Business"/>
    <s v="High Income"/>
  </r>
  <r>
    <n v="101"/>
    <s v="Tammy Barajas"/>
    <s v="Female"/>
    <s v="High School"/>
    <n v="70080"/>
    <n v="354083"/>
    <x v="0"/>
    <x v="1"/>
    <n v="502"/>
    <s v="Self-Employed"/>
    <s v="Medium Income"/>
  </r>
  <r>
    <n v="102"/>
    <s v="Robert Garcia"/>
    <s v="Female"/>
    <s v="Graduate"/>
    <n v="112994"/>
    <n v="499320"/>
    <x v="0"/>
    <x v="2"/>
    <n v="344"/>
    <s v="Business"/>
    <s v="High Income"/>
  </r>
  <r>
    <n v="103"/>
    <s v="Charles Richards"/>
    <s v="Female"/>
    <s v="High School"/>
    <n v="42068"/>
    <n v="338428"/>
    <x v="0"/>
    <x v="0"/>
    <n v="499"/>
    <s v="Self-Employed"/>
    <s v="Low Income"/>
  </r>
  <r>
    <n v="104"/>
    <s v="Jack Morris"/>
    <s v="Female"/>
    <s v="Graduate"/>
    <n v="98316"/>
    <n v="242711"/>
    <x v="1"/>
    <x v="3"/>
    <n v="611"/>
    <s v="Self-Employed"/>
    <s v="High Income"/>
  </r>
  <r>
    <n v="105"/>
    <s v="Rachel Rivera"/>
    <s v="Male"/>
    <s v="High School"/>
    <n v="94950"/>
    <n v="364808"/>
    <x v="1"/>
    <x v="3"/>
    <n v="677"/>
    <s v="Business"/>
    <s v="High Income"/>
  </r>
  <r>
    <n v="106"/>
    <s v="Billy Massey"/>
    <s v="Female"/>
    <s v="High School"/>
    <n v="42773"/>
    <n v="333566"/>
    <x v="0"/>
    <x v="1"/>
    <n v="371"/>
    <s v="Business"/>
    <s v="Low Income"/>
  </r>
  <r>
    <n v="107"/>
    <s v="Jessica King"/>
    <s v="Male"/>
    <s v="Post Graduate"/>
    <n v="75849"/>
    <n v="395553"/>
    <x v="0"/>
    <x v="1"/>
    <n v="796"/>
    <s v="Self-Employed"/>
    <s v="Medium Income"/>
  </r>
  <r>
    <n v="108"/>
    <s v="Patricia Harrington"/>
    <s v="Male"/>
    <s v="High School"/>
    <n v="49024"/>
    <n v="80752"/>
    <x v="1"/>
    <x v="0"/>
    <n v="565"/>
    <s v="Self-Employed"/>
    <s v="Low Income"/>
  </r>
  <r>
    <n v="109"/>
    <s v="Michelle Harrison"/>
    <s v="Female"/>
    <s v="Graduate"/>
    <n v="50511"/>
    <n v="444288"/>
    <x v="1"/>
    <x v="2"/>
    <n v="640"/>
    <s v="Self-Employed"/>
    <s v="Medium Income"/>
  </r>
  <r>
    <n v="110"/>
    <s v="Valerie Spencer"/>
    <s v="Male"/>
    <s v="Graduate"/>
    <n v="31365"/>
    <n v="394413"/>
    <x v="1"/>
    <x v="3"/>
    <n v="433"/>
    <s v="Salaried"/>
    <s v="Low Income"/>
  </r>
  <r>
    <n v="111"/>
    <s v="Angelica Key"/>
    <s v="Male"/>
    <s v="Graduate"/>
    <n v="22851"/>
    <n v="262281"/>
    <x v="0"/>
    <x v="0"/>
    <n v="332"/>
    <s v="Salaried"/>
    <s v="Low Income"/>
  </r>
  <r>
    <n v="112"/>
    <s v="Timothy Patel"/>
    <s v="Female"/>
    <s v="Post Graduate"/>
    <n v="73380"/>
    <n v="121280"/>
    <x v="1"/>
    <x v="2"/>
    <n v="378"/>
    <s v="Self-Employed"/>
    <s v="Medium Income"/>
  </r>
  <r>
    <n v="113"/>
    <s v="Jennifer Howell"/>
    <s v="Female"/>
    <s v="Graduate"/>
    <n v="89249"/>
    <n v="498359"/>
    <x v="1"/>
    <x v="0"/>
    <n v="505"/>
    <s v="Salaried"/>
    <s v="High Income"/>
  </r>
  <r>
    <n v="114"/>
    <s v="Robert Mercado"/>
    <s v="Male"/>
    <s v="Graduate"/>
    <n v="98770"/>
    <n v="64975"/>
    <x v="1"/>
    <x v="1"/>
    <n v="469"/>
    <s v="Business"/>
    <s v="High Income"/>
  </r>
  <r>
    <n v="115"/>
    <s v="Olivia Patel"/>
    <s v="Female"/>
    <s v="High School"/>
    <n v="40085"/>
    <n v="103487"/>
    <x v="1"/>
    <x v="2"/>
    <n v="879"/>
    <s v="Self-Employed"/>
    <s v="Low Income"/>
  </r>
  <r>
    <n v="116"/>
    <s v="Danielle Jones"/>
    <s v="Female"/>
    <s v="Post Graduate"/>
    <n v="82258"/>
    <n v="253280"/>
    <x v="1"/>
    <x v="0"/>
    <n v="468"/>
    <s v="Business"/>
    <s v="High Income"/>
  </r>
  <r>
    <n v="117"/>
    <s v="Jerome Carson"/>
    <s v="Male"/>
    <s v="High School"/>
    <n v="109699"/>
    <n v="197706"/>
    <x v="0"/>
    <x v="1"/>
    <n v="523"/>
    <s v="Self-Employed"/>
    <s v="High Income"/>
  </r>
  <r>
    <n v="118"/>
    <s v="Tammy Wood"/>
    <s v="Male"/>
    <s v="Post Graduate"/>
    <n v="64608"/>
    <n v="71022"/>
    <x v="1"/>
    <x v="3"/>
    <n v="420"/>
    <s v="Business"/>
    <s v="Medium Income"/>
  </r>
  <r>
    <n v="119"/>
    <s v="Jordan Reese"/>
    <s v="Male"/>
    <s v="Graduate"/>
    <n v="112187"/>
    <n v="488918"/>
    <x v="0"/>
    <x v="1"/>
    <n v="658"/>
    <s v="Self-Employed"/>
    <s v="High Income"/>
  </r>
  <r>
    <n v="120"/>
    <s v="Adriana Ray"/>
    <s v="Male"/>
    <s v="Post Graduate"/>
    <n v="41725"/>
    <n v="92469"/>
    <x v="0"/>
    <x v="1"/>
    <n v="403"/>
    <s v="Salaried"/>
    <s v="Low Income"/>
  </r>
  <r>
    <n v="121"/>
    <s v="George Schmidt"/>
    <s v="Male"/>
    <s v="High School"/>
    <n v="85909"/>
    <n v="313335"/>
    <x v="0"/>
    <x v="2"/>
    <n v="692"/>
    <s v="Self-Employed"/>
    <s v="High Income"/>
  </r>
  <r>
    <n v="122"/>
    <s v="Travis Walker"/>
    <s v="Female"/>
    <s v="Post Graduate"/>
    <n v="116314"/>
    <n v="249906"/>
    <x v="1"/>
    <x v="1"/>
    <n v="700"/>
    <s v="Salaried"/>
    <s v="High Income"/>
  </r>
  <r>
    <n v="123"/>
    <s v="Donald Hawkins"/>
    <s v="Female"/>
    <s v="Graduate"/>
    <n v="36648"/>
    <n v="372393"/>
    <x v="0"/>
    <x v="1"/>
    <n v="847"/>
    <s v="Business"/>
    <s v="Low Income"/>
  </r>
  <r>
    <n v="124"/>
    <s v="Nicole Evans"/>
    <s v="Female"/>
    <s v="Graduate"/>
    <n v="41891"/>
    <n v="448671"/>
    <x v="0"/>
    <x v="3"/>
    <n v="876"/>
    <s v="Salaried"/>
    <s v="Low Income"/>
  </r>
  <r>
    <n v="125"/>
    <s v="Jenna Mcpherson"/>
    <s v="Female"/>
    <s v="Post Graduate"/>
    <n v="115847"/>
    <n v="431149"/>
    <x v="0"/>
    <x v="0"/>
    <n v="496"/>
    <s v="Business"/>
    <s v="High Income"/>
  </r>
  <r>
    <n v="126"/>
    <s v="Tyrone Knox"/>
    <s v="Female"/>
    <s v="Graduate"/>
    <n v="53589"/>
    <n v="206639"/>
    <x v="1"/>
    <x v="2"/>
    <n v="665"/>
    <s v="Self-Employed"/>
    <s v="Medium Income"/>
  </r>
  <r>
    <n v="127"/>
    <s v="Michele Washington"/>
    <s v="Male"/>
    <s v="Post Graduate"/>
    <n v="79113"/>
    <n v="301194"/>
    <x v="1"/>
    <x v="2"/>
    <n v="698"/>
    <s v="Self-Employed"/>
    <s v="Medium Income"/>
  </r>
  <r>
    <n v="128"/>
    <s v="Thomas Martin"/>
    <s v="Female"/>
    <s v="High School"/>
    <n v="30834"/>
    <n v="451940"/>
    <x v="0"/>
    <x v="0"/>
    <n v="794"/>
    <s v="Self-Employed"/>
    <s v="Low Income"/>
  </r>
  <r>
    <n v="129"/>
    <s v="Jennifer Lopez"/>
    <s v="Female"/>
    <s v="Post Graduate"/>
    <n v="72043"/>
    <n v="118719"/>
    <x v="1"/>
    <x v="0"/>
    <n v="671"/>
    <s v="Self-Employed"/>
    <s v="Medium Income"/>
  </r>
  <r>
    <n v="130"/>
    <s v="Toni Harrison"/>
    <s v="Female"/>
    <s v="Post Graduate"/>
    <n v="34673"/>
    <n v="277943"/>
    <x v="1"/>
    <x v="3"/>
    <n v="627"/>
    <s v="Business"/>
    <s v="Low Income"/>
  </r>
  <r>
    <n v="131"/>
    <s v="Anna Nguyen"/>
    <s v="Male"/>
    <s v="Graduate"/>
    <n v="95428"/>
    <n v="340536"/>
    <x v="1"/>
    <x v="0"/>
    <n v="798"/>
    <s v="Salaried"/>
    <s v="High Income"/>
  </r>
  <r>
    <n v="132"/>
    <s v="Kristine Morales"/>
    <s v="Female"/>
    <s v="Graduate"/>
    <n v="112234"/>
    <n v="39424"/>
    <x v="1"/>
    <x v="1"/>
    <n v="723"/>
    <s v="Self-Employed"/>
    <s v="High Income"/>
  </r>
  <r>
    <n v="133"/>
    <s v="Jerry Barr"/>
    <s v="Male"/>
    <s v="Graduate"/>
    <n v="90128"/>
    <n v="275061"/>
    <x v="1"/>
    <x v="1"/>
    <n v="637"/>
    <s v="Salaried"/>
    <s v="High Income"/>
  </r>
  <r>
    <n v="134"/>
    <s v="Christina Melton"/>
    <s v="Male"/>
    <s v="Graduate"/>
    <n v="41494"/>
    <n v="108609"/>
    <x v="0"/>
    <x v="2"/>
    <n v="678"/>
    <s v="Self-Employed"/>
    <s v="Low Income"/>
  </r>
  <r>
    <n v="135"/>
    <s v="Jason Davis"/>
    <s v="Male"/>
    <s v="Post Graduate"/>
    <n v="26697"/>
    <n v="132887"/>
    <x v="1"/>
    <x v="1"/>
    <n v="327"/>
    <s v="Self-Employed"/>
    <s v="Low Income"/>
  </r>
  <r>
    <n v="136"/>
    <s v="Brandon Rodriguez"/>
    <s v="Female"/>
    <s v="Post Graduate"/>
    <n v="57914"/>
    <n v="63395"/>
    <x v="0"/>
    <x v="2"/>
    <n v="791"/>
    <s v="Self-Employed"/>
    <s v="Medium Income"/>
  </r>
  <r>
    <n v="137"/>
    <s v="Anthony Chen MD"/>
    <s v="Male"/>
    <s v="Post Graduate"/>
    <n v="59671"/>
    <n v="206485"/>
    <x v="0"/>
    <x v="3"/>
    <n v="707"/>
    <s v="Business"/>
    <s v="Medium Income"/>
  </r>
  <r>
    <n v="138"/>
    <s v="James Howell"/>
    <s v="Male"/>
    <s v="High School"/>
    <n v="59121"/>
    <n v="293103"/>
    <x v="0"/>
    <x v="0"/>
    <n v="442"/>
    <s v="Business"/>
    <s v="Medium Income"/>
  </r>
  <r>
    <n v="139"/>
    <s v="James Guerrero"/>
    <s v="Male"/>
    <s v="Post Graduate"/>
    <n v="43662"/>
    <n v="273219"/>
    <x v="1"/>
    <x v="1"/>
    <n v="563"/>
    <s v="Self-Employed"/>
    <s v="Low Income"/>
  </r>
  <r>
    <n v="140"/>
    <s v="Kevin Davis"/>
    <s v="Female"/>
    <s v="High School"/>
    <n v="109872"/>
    <n v="126381"/>
    <x v="1"/>
    <x v="3"/>
    <n v="795"/>
    <s v="Self-Employed"/>
    <s v="High Income"/>
  </r>
  <r>
    <n v="141"/>
    <s v="Danielle Vang"/>
    <s v="Female"/>
    <s v="High School"/>
    <n v="100695"/>
    <n v="412280"/>
    <x v="0"/>
    <x v="3"/>
    <n v="703"/>
    <s v="Salaried"/>
    <s v="High Income"/>
  </r>
  <r>
    <n v="142"/>
    <s v="Lori Daniels"/>
    <s v="Female"/>
    <s v="Graduate"/>
    <n v="42924"/>
    <n v="194214"/>
    <x v="1"/>
    <x v="0"/>
    <n v="768"/>
    <s v="Salaried"/>
    <s v="Low Income"/>
  </r>
  <r>
    <n v="143"/>
    <s v="Elizabeth Woods"/>
    <s v="Male"/>
    <s v="High School"/>
    <n v="49265"/>
    <n v="50421"/>
    <x v="0"/>
    <x v="3"/>
    <n v="375"/>
    <s v="Business"/>
    <s v="Low Income"/>
  </r>
  <r>
    <n v="144"/>
    <s v="Crystal Cruz"/>
    <s v="Male"/>
    <s v="High School"/>
    <n v="44243"/>
    <n v="490790"/>
    <x v="0"/>
    <x v="0"/>
    <n v="666"/>
    <s v="Self-Employed"/>
    <s v="Low Income"/>
  </r>
  <r>
    <n v="145"/>
    <s v="Jessica Wall"/>
    <s v="Male"/>
    <s v="Graduate"/>
    <n v="29369"/>
    <n v="140179"/>
    <x v="1"/>
    <x v="1"/>
    <n v="815"/>
    <s v="Self-Employed"/>
    <s v="Low Income"/>
  </r>
  <r>
    <n v="146"/>
    <s v="Breanna Henry"/>
    <s v="Male"/>
    <s v="High School"/>
    <n v="72954"/>
    <n v="193772"/>
    <x v="1"/>
    <x v="1"/>
    <n v="547"/>
    <s v="Business"/>
    <s v="Medium Income"/>
  </r>
  <r>
    <n v="147"/>
    <s v="James Skinner"/>
    <s v="Female"/>
    <s v="High School"/>
    <n v="22872"/>
    <n v="31389"/>
    <x v="1"/>
    <x v="0"/>
    <n v="627"/>
    <s v="Self-Employed"/>
    <s v="Low Income"/>
  </r>
  <r>
    <n v="148"/>
    <s v="Wayne Vasquez"/>
    <s v="Male"/>
    <s v="Graduate"/>
    <n v="112279"/>
    <n v="146356"/>
    <x v="1"/>
    <x v="3"/>
    <n v="833"/>
    <s v="Self-Employed"/>
    <s v="High Income"/>
  </r>
  <r>
    <n v="149"/>
    <s v="Darrell Cordova"/>
    <s v="Female"/>
    <s v="High School"/>
    <n v="104542"/>
    <n v="24205"/>
    <x v="0"/>
    <x v="0"/>
    <n v="659"/>
    <s v="Salaried"/>
    <s v="High Income"/>
  </r>
  <r>
    <n v="150"/>
    <s v="John Torres"/>
    <s v="Male"/>
    <s v="Post Graduate"/>
    <n v="102047"/>
    <n v="382255"/>
    <x v="0"/>
    <x v="1"/>
    <n v="829"/>
    <s v="Business"/>
    <s v="High Income"/>
  </r>
  <r>
    <n v="151"/>
    <s v="Jennifer Watkins"/>
    <s v="Male"/>
    <s v="Post Graduate"/>
    <n v="86344"/>
    <n v="60297"/>
    <x v="1"/>
    <x v="1"/>
    <n v="613"/>
    <s v="Self-Employed"/>
    <s v="High Income"/>
  </r>
  <r>
    <n v="152"/>
    <s v="Cole Long"/>
    <s v="Female"/>
    <s v="Post Graduate"/>
    <n v="37683"/>
    <n v="493894"/>
    <x v="0"/>
    <x v="2"/>
    <n v="321"/>
    <s v="Self-Employed"/>
    <s v="Low Income"/>
  </r>
  <r>
    <n v="153"/>
    <s v="Stephanie Fitzpatrick"/>
    <s v="Female"/>
    <s v="Graduate"/>
    <n v="114436"/>
    <n v="203806"/>
    <x v="1"/>
    <x v="0"/>
    <n v="537"/>
    <s v="Business"/>
    <s v="High Income"/>
  </r>
  <r>
    <n v="154"/>
    <s v="Derrick Griffith"/>
    <s v="Female"/>
    <s v="High School"/>
    <n v="60057"/>
    <n v="444971"/>
    <x v="0"/>
    <x v="3"/>
    <n v="694"/>
    <s v="Self-Employed"/>
    <s v="Medium Income"/>
  </r>
  <r>
    <n v="155"/>
    <s v="Martin Shelton"/>
    <s v="Male"/>
    <s v="High School"/>
    <n v="106295"/>
    <n v="8934"/>
    <x v="1"/>
    <x v="1"/>
    <n v="508"/>
    <s v="Business"/>
    <s v="High Income"/>
  </r>
  <r>
    <n v="156"/>
    <s v="Michael Phillips"/>
    <s v="Female"/>
    <s v="Post Graduate"/>
    <n v="105365"/>
    <n v="130041"/>
    <x v="0"/>
    <x v="0"/>
    <n v="510"/>
    <s v="Business"/>
    <s v="High Income"/>
  </r>
  <r>
    <n v="157"/>
    <s v="Phillip Barry"/>
    <s v="Female"/>
    <s v="Post Graduate"/>
    <n v="77910"/>
    <n v="201706"/>
    <x v="1"/>
    <x v="3"/>
    <n v="898"/>
    <s v="Salaried"/>
    <s v="Medium Income"/>
  </r>
  <r>
    <n v="158"/>
    <s v="Sue Dunn"/>
    <s v="Female"/>
    <s v="Graduate"/>
    <n v="28038"/>
    <n v="424021"/>
    <x v="1"/>
    <x v="1"/>
    <n v="659"/>
    <s v="Self-Employed"/>
    <s v="Low Income"/>
  </r>
  <r>
    <n v="159"/>
    <s v="Jillian Tucker"/>
    <s v="Male"/>
    <s v="High School"/>
    <n v="61218"/>
    <n v="6175"/>
    <x v="0"/>
    <x v="0"/>
    <n v="321"/>
    <s v="Self-Employed"/>
    <s v="Medium Income"/>
  </r>
  <r>
    <n v="160"/>
    <s v="Felicia Brady"/>
    <s v="Female"/>
    <s v="Graduate"/>
    <n v="104634"/>
    <n v="287012"/>
    <x v="1"/>
    <x v="0"/>
    <n v="505"/>
    <s v="Salaried"/>
    <s v="High Income"/>
  </r>
  <r>
    <n v="161"/>
    <s v="Brenda Hatfield"/>
    <s v="Male"/>
    <s v="High School"/>
    <n v="23703"/>
    <n v="120081"/>
    <x v="0"/>
    <x v="0"/>
    <n v="535"/>
    <s v="Self-Employed"/>
    <s v="Low Income"/>
  </r>
  <r>
    <n v="162"/>
    <s v="Jerry Nelson"/>
    <s v="Female"/>
    <s v="High School"/>
    <n v="55402"/>
    <n v="258497"/>
    <x v="0"/>
    <x v="1"/>
    <n v="879"/>
    <s v="Self-Employed"/>
    <s v="Medium Income"/>
  </r>
  <r>
    <n v="163"/>
    <s v="Matthew Robertson"/>
    <s v="Male"/>
    <s v="Graduate"/>
    <n v="50312"/>
    <n v="142752"/>
    <x v="1"/>
    <x v="3"/>
    <n v="647"/>
    <s v="Self-Employed"/>
    <s v="Medium Income"/>
  </r>
  <r>
    <n v="164"/>
    <s v="Michael Martin"/>
    <s v="Female"/>
    <s v="Post Graduate"/>
    <n v="106443"/>
    <n v="343996"/>
    <x v="1"/>
    <x v="2"/>
    <n v="407"/>
    <s v="Salaried"/>
    <s v="High Income"/>
  </r>
  <r>
    <n v="165"/>
    <s v="Martha Jenkins"/>
    <s v="Male"/>
    <s v="Post Graduate"/>
    <n v="26569"/>
    <n v="125220"/>
    <x v="0"/>
    <x v="2"/>
    <n v="712"/>
    <s v="Salaried"/>
    <s v="Low Income"/>
  </r>
  <r>
    <n v="166"/>
    <s v="David Lindsey"/>
    <s v="Male"/>
    <s v="Post Graduate"/>
    <n v="45329"/>
    <n v="135345"/>
    <x v="1"/>
    <x v="1"/>
    <n v="694"/>
    <s v="Self-Employed"/>
    <s v="Low Income"/>
  </r>
  <r>
    <n v="167"/>
    <s v="Crystal Horton"/>
    <s v="Male"/>
    <s v="Post Graduate"/>
    <n v="58084"/>
    <n v="478617"/>
    <x v="0"/>
    <x v="1"/>
    <n v="445"/>
    <s v="Business"/>
    <s v="Medium Income"/>
  </r>
  <r>
    <n v="168"/>
    <s v="Rebecca Sloan"/>
    <s v="Male"/>
    <s v="Post Graduate"/>
    <n v="48825"/>
    <n v="353104"/>
    <x v="0"/>
    <x v="3"/>
    <n v="455"/>
    <s v="Self-Employed"/>
    <s v="Low Income"/>
  </r>
  <r>
    <n v="169"/>
    <s v="Amy Adams"/>
    <s v="Male"/>
    <s v="Graduate"/>
    <n v="47912"/>
    <n v="216990"/>
    <x v="1"/>
    <x v="1"/>
    <n v="746"/>
    <s v="Self-Employed"/>
    <s v="Low Income"/>
  </r>
  <r>
    <n v="170"/>
    <s v="Karen Maldonado"/>
    <s v="Female"/>
    <s v="High School"/>
    <n v="100468"/>
    <n v="155641"/>
    <x v="0"/>
    <x v="2"/>
    <n v="485"/>
    <s v="Salaried"/>
    <s v="High Income"/>
  </r>
  <r>
    <n v="171"/>
    <s v="Jessica Pratt MD"/>
    <s v="Female"/>
    <s v="Post Graduate"/>
    <n v="25207"/>
    <n v="342110"/>
    <x v="1"/>
    <x v="2"/>
    <n v="897"/>
    <s v="Business"/>
    <s v="Low Income"/>
  </r>
  <r>
    <n v="172"/>
    <s v="Dennis Armstrong"/>
    <s v="Male"/>
    <s v="Post Graduate"/>
    <n v="45227"/>
    <n v="106360"/>
    <x v="0"/>
    <x v="1"/>
    <n v="626"/>
    <s v="Business"/>
    <s v="Low Income"/>
  </r>
  <r>
    <n v="173"/>
    <s v="Taylor Lutz"/>
    <s v="Male"/>
    <s v="High School"/>
    <n v="80117"/>
    <n v="369059"/>
    <x v="0"/>
    <x v="2"/>
    <n v="374"/>
    <s v="Salaried"/>
    <s v="High Income"/>
  </r>
  <r>
    <n v="174"/>
    <s v="Kenneth Chan"/>
    <s v="Female"/>
    <s v="Post Graduate"/>
    <n v="111006"/>
    <n v="478153"/>
    <x v="1"/>
    <x v="0"/>
    <n v="899"/>
    <s v="Self-Employed"/>
    <s v="High Income"/>
  </r>
  <r>
    <n v="175"/>
    <s v="Jose Vaughan"/>
    <s v="Male"/>
    <s v="Post Graduate"/>
    <n v="30991"/>
    <n v="257573"/>
    <x v="1"/>
    <x v="0"/>
    <n v="402"/>
    <s v="Salaried"/>
    <s v="Low Income"/>
  </r>
  <r>
    <n v="176"/>
    <s v="Christopher Cook"/>
    <s v="Male"/>
    <s v="Graduate"/>
    <n v="112496"/>
    <n v="172768"/>
    <x v="1"/>
    <x v="0"/>
    <n v="310"/>
    <s v="Salaried"/>
    <s v="High Income"/>
  </r>
  <r>
    <n v="177"/>
    <s v="Chris Dickerson"/>
    <s v="Male"/>
    <s v="Post Graduate"/>
    <n v="67413"/>
    <n v="436953"/>
    <x v="1"/>
    <x v="2"/>
    <n v="443"/>
    <s v="Business"/>
    <s v="Medium Income"/>
  </r>
  <r>
    <n v="178"/>
    <s v="Cindy Thomas"/>
    <s v="Male"/>
    <s v="High School"/>
    <n v="41393"/>
    <n v="220391"/>
    <x v="0"/>
    <x v="3"/>
    <n v="799"/>
    <s v="Self-Employed"/>
    <s v="Low Income"/>
  </r>
  <r>
    <n v="179"/>
    <s v="David Davis"/>
    <s v="Female"/>
    <s v="Graduate"/>
    <n v="79249"/>
    <n v="486039"/>
    <x v="1"/>
    <x v="2"/>
    <n v="860"/>
    <s v="Self-Employed"/>
    <s v="Medium Income"/>
  </r>
  <r>
    <n v="180"/>
    <s v="Christian Johnson"/>
    <s v="Male"/>
    <s v="High School"/>
    <n v="70516"/>
    <n v="189681"/>
    <x v="1"/>
    <x v="0"/>
    <n v="516"/>
    <s v="Self-Employed"/>
    <s v="Medium Income"/>
  </r>
  <r>
    <n v="181"/>
    <s v="Christopher Lin"/>
    <s v="Male"/>
    <s v="Post Graduate"/>
    <n v="65600"/>
    <n v="438518"/>
    <x v="0"/>
    <x v="3"/>
    <n v="774"/>
    <s v="Business"/>
    <s v="Medium Income"/>
  </r>
  <r>
    <n v="182"/>
    <s v="Daniel Ruiz"/>
    <s v="Male"/>
    <s v="Post Graduate"/>
    <n v="73452"/>
    <n v="239534"/>
    <x v="0"/>
    <x v="3"/>
    <n v="536"/>
    <s v="Self-Employed"/>
    <s v="Medium Income"/>
  </r>
  <r>
    <n v="183"/>
    <s v="Alan Blevins"/>
    <s v="Male"/>
    <s v="High School"/>
    <n v="37723"/>
    <n v="298353"/>
    <x v="0"/>
    <x v="2"/>
    <n v="555"/>
    <s v="Salaried"/>
    <s v="Low Income"/>
  </r>
  <r>
    <n v="184"/>
    <s v="Dr. Angela Foster MD"/>
    <s v="Male"/>
    <s v="High School"/>
    <n v="37079"/>
    <n v="306327"/>
    <x v="1"/>
    <x v="3"/>
    <n v="542"/>
    <s v="Business"/>
    <s v="Low Income"/>
  </r>
  <r>
    <n v="185"/>
    <s v="Judy Alvarado"/>
    <s v="Male"/>
    <s v="Graduate"/>
    <n v="64782"/>
    <n v="327918"/>
    <x v="0"/>
    <x v="2"/>
    <n v="713"/>
    <s v="Salaried"/>
    <s v="Medium Income"/>
  </r>
  <r>
    <n v="186"/>
    <s v="Jessica Koch"/>
    <s v="Female"/>
    <s v="High School"/>
    <n v="44604"/>
    <n v="164872"/>
    <x v="0"/>
    <x v="3"/>
    <n v="735"/>
    <s v="Business"/>
    <s v="Low Income"/>
  </r>
  <r>
    <n v="187"/>
    <s v="Mark Smith"/>
    <s v="Female"/>
    <s v="Graduate"/>
    <n v="78269"/>
    <n v="309530"/>
    <x v="0"/>
    <x v="1"/>
    <n v="755"/>
    <s v="Business"/>
    <s v="Medium Income"/>
  </r>
  <r>
    <n v="188"/>
    <s v="Matthew Rhodes"/>
    <s v="Female"/>
    <s v="High School"/>
    <n v="66120"/>
    <n v="245171"/>
    <x v="0"/>
    <x v="0"/>
    <n v="857"/>
    <s v="Business"/>
    <s v="Medium Income"/>
  </r>
  <r>
    <n v="189"/>
    <s v="Melissa Vasquez"/>
    <s v="Female"/>
    <s v="High School"/>
    <n v="79827"/>
    <n v="93134"/>
    <x v="0"/>
    <x v="3"/>
    <n v="501"/>
    <s v="Self-Employed"/>
    <s v="Medium Income"/>
  </r>
  <r>
    <n v="190"/>
    <s v="Amber Baker"/>
    <s v="Female"/>
    <s v="High School"/>
    <n v="61906"/>
    <n v="118153"/>
    <x v="0"/>
    <x v="1"/>
    <n v="761"/>
    <s v="Business"/>
    <s v="Medium Income"/>
  </r>
  <r>
    <n v="191"/>
    <s v="Michael Smith"/>
    <s v="Female"/>
    <s v="Graduate"/>
    <n v="108534"/>
    <n v="462885"/>
    <x v="1"/>
    <x v="3"/>
    <n v="636"/>
    <s v="Self-Employed"/>
    <s v="High Income"/>
  </r>
  <r>
    <n v="192"/>
    <s v="April Martinez"/>
    <s v="Male"/>
    <s v="Graduate"/>
    <n v="107798"/>
    <n v="13097"/>
    <x v="0"/>
    <x v="3"/>
    <n v="659"/>
    <s v="Business"/>
    <s v="High Income"/>
  </r>
  <r>
    <n v="193"/>
    <s v="Mr. Kevin York"/>
    <s v="Female"/>
    <s v="Graduate"/>
    <n v="116201"/>
    <n v="91491"/>
    <x v="0"/>
    <x v="3"/>
    <n v="457"/>
    <s v="Salaried"/>
    <s v="High Income"/>
  </r>
  <r>
    <n v="194"/>
    <s v="Dr. Brenda Yu"/>
    <s v="Female"/>
    <s v="Post Graduate"/>
    <n v="80739"/>
    <n v="104285"/>
    <x v="1"/>
    <x v="1"/>
    <n v="343"/>
    <s v="Business"/>
    <s v="High Income"/>
  </r>
  <r>
    <n v="195"/>
    <s v="Nicolas Castillo"/>
    <s v="Female"/>
    <s v="High School"/>
    <n v="93721"/>
    <n v="435327"/>
    <x v="0"/>
    <x v="0"/>
    <n v="889"/>
    <s v="Business"/>
    <s v="High Income"/>
  </r>
  <r>
    <n v="196"/>
    <s v="Ernest Rowe"/>
    <s v="Male"/>
    <s v="Post Graduate"/>
    <n v="76667"/>
    <n v="110889"/>
    <x v="0"/>
    <x v="1"/>
    <n v="376"/>
    <s v="Business"/>
    <s v="Medium Income"/>
  </r>
  <r>
    <n v="197"/>
    <s v="Diane Wood"/>
    <s v="Female"/>
    <s v="Graduate"/>
    <n v="86334"/>
    <n v="150974"/>
    <x v="1"/>
    <x v="0"/>
    <n v="870"/>
    <s v="Salaried"/>
    <s v="High Income"/>
  </r>
  <r>
    <n v="198"/>
    <s v="Chad Harper"/>
    <s v="Female"/>
    <s v="Graduate"/>
    <n v="69305"/>
    <n v="157375"/>
    <x v="0"/>
    <x v="1"/>
    <n v="671"/>
    <s v="Business"/>
    <s v="Medium Income"/>
  </r>
  <r>
    <n v="199"/>
    <s v="Jimmy Dickson"/>
    <s v="Female"/>
    <s v="High School"/>
    <n v="87083"/>
    <n v="14955"/>
    <x v="0"/>
    <x v="3"/>
    <n v="407"/>
    <s v="Business"/>
    <s v="High Income"/>
  </r>
  <r>
    <n v="200"/>
    <s v="Justin Larson"/>
    <s v="Female"/>
    <s v="Post Graduate"/>
    <n v="62890"/>
    <n v="440361"/>
    <x v="0"/>
    <x v="3"/>
    <n v="439"/>
    <s v="Salaried"/>
    <s v="Medium Income"/>
  </r>
  <r>
    <n v="201"/>
    <s v="Veronica Hanson"/>
    <s v="Female"/>
    <s v="Graduate"/>
    <n v="103297"/>
    <n v="82820"/>
    <x v="0"/>
    <x v="0"/>
    <n v="821"/>
    <s v="Business"/>
    <s v="High Income"/>
  </r>
  <r>
    <n v="202"/>
    <s v="William Smith"/>
    <s v="Female"/>
    <s v="High School"/>
    <n v="79959"/>
    <n v="314245"/>
    <x v="0"/>
    <x v="2"/>
    <n v="374"/>
    <s v="Business"/>
    <s v="Medium Income"/>
  </r>
  <r>
    <n v="203"/>
    <s v="Donald Parrish"/>
    <s v="Female"/>
    <s v="Post Graduate"/>
    <n v="82686"/>
    <n v="377467"/>
    <x v="1"/>
    <x v="3"/>
    <n v="530"/>
    <s v="Salaried"/>
    <s v="High Income"/>
  </r>
  <r>
    <n v="204"/>
    <s v="Michael Nelson"/>
    <s v="Male"/>
    <s v="High School"/>
    <n v="67749"/>
    <n v="163548"/>
    <x v="1"/>
    <x v="1"/>
    <n v="341"/>
    <s v="Business"/>
    <s v="Medium Income"/>
  </r>
  <r>
    <n v="205"/>
    <s v="Suzanne Simmons"/>
    <s v="Female"/>
    <s v="High School"/>
    <n v="69020"/>
    <n v="275082"/>
    <x v="1"/>
    <x v="0"/>
    <n v="825"/>
    <s v="Salaried"/>
    <s v="Medium Income"/>
  </r>
  <r>
    <n v="206"/>
    <s v="Dwayne Hill"/>
    <s v="Male"/>
    <s v="Post Graduate"/>
    <n v="46955"/>
    <n v="181156"/>
    <x v="1"/>
    <x v="3"/>
    <n v="420"/>
    <s v="Self-Employed"/>
    <s v="Low Income"/>
  </r>
  <r>
    <n v="207"/>
    <s v="Susan Grimes"/>
    <s v="Female"/>
    <s v="Graduate"/>
    <n v="21543"/>
    <n v="223009"/>
    <x v="0"/>
    <x v="3"/>
    <n v="714"/>
    <s v="Self-Employed"/>
    <s v="Low Income"/>
  </r>
  <r>
    <n v="208"/>
    <s v="Matthew Landry"/>
    <s v="Female"/>
    <s v="Graduate"/>
    <n v="100919"/>
    <n v="458773"/>
    <x v="1"/>
    <x v="0"/>
    <n v="560"/>
    <s v="Self-Employed"/>
    <s v="High Income"/>
  </r>
  <r>
    <n v="209"/>
    <s v="Amanda Green"/>
    <s v="Female"/>
    <s v="Graduate"/>
    <n v="116119"/>
    <n v="241670"/>
    <x v="0"/>
    <x v="0"/>
    <n v="509"/>
    <s v="Salaried"/>
    <s v="High Income"/>
  </r>
  <r>
    <n v="210"/>
    <s v="James Thomas"/>
    <s v="Male"/>
    <s v="Post Graduate"/>
    <n v="110967"/>
    <n v="455795"/>
    <x v="0"/>
    <x v="0"/>
    <n v="715"/>
    <s v="Business"/>
    <s v="High Income"/>
  </r>
  <r>
    <n v="211"/>
    <s v="Donna Mason"/>
    <s v="Female"/>
    <s v="Post Graduate"/>
    <n v="93953"/>
    <n v="85140"/>
    <x v="0"/>
    <x v="0"/>
    <n v="769"/>
    <s v="Self-Employed"/>
    <s v="High Income"/>
  </r>
  <r>
    <n v="212"/>
    <s v="Ernest Thompson"/>
    <s v="Male"/>
    <s v="Post Graduate"/>
    <n v="99455"/>
    <n v="191135"/>
    <x v="1"/>
    <x v="2"/>
    <n v="306"/>
    <s v="Salaried"/>
    <s v="High Income"/>
  </r>
  <r>
    <n v="213"/>
    <s v="Frank Schultz"/>
    <s v="Female"/>
    <s v="High School"/>
    <n v="51000"/>
    <n v="95057"/>
    <x v="0"/>
    <x v="1"/>
    <n v="589"/>
    <s v="Self-Employed"/>
    <s v="Medium Income"/>
  </r>
  <r>
    <n v="214"/>
    <s v="Terry Orozco"/>
    <s v="Male"/>
    <s v="High School"/>
    <n v="47185"/>
    <n v="303483"/>
    <x v="1"/>
    <x v="3"/>
    <n v="360"/>
    <s v="Self-Employed"/>
    <s v="Low Income"/>
  </r>
  <r>
    <n v="215"/>
    <s v="John Martin"/>
    <s v="Female"/>
    <s v="Post Graduate"/>
    <n v="41953"/>
    <n v="460148"/>
    <x v="1"/>
    <x v="3"/>
    <n v="846"/>
    <s v="Salaried"/>
    <s v="Low Income"/>
  </r>
  <r>
    <n v="216"/>
    <s v="James Owen"/>
    <s v="Female"/>
    <s v="Graduate"/>
    <n v="91966"/>
    <n v="360962"/>
    <x v="0"/>
    <x v="3"/>
    <n v="896"/>
    <s v="Salaried"/>
    <s v="High Income"/>
  </r>
  <r>
    <n v="217"/>
    <s v="Kelly Fry"/>
    <s v="Male"/>
    <s v="Post Graduate"/>
    <n v="95528"/>
    <n v="12195"/>
    <x v="1"/>
    <x v="0"/>
    <n v="345"/>
    <s v="Business"/>
    <s v="High Income"/>
  </r>
  <r>
    <n v="218"/>
    <s v="Ethan Price"/>
    <s v="Male"/>
    <s v="High School"/>
    <n v="105531"/>
    <n v="493062"/>
    <x v="1"/>
    <x v="2"/>
    <n v="363"/>
    <s v="Business"/>
    <s v="High Income"/>
  </r>
  <r>
    <n v="219"/>
    <s v="Edward Hodges"/>
    <s v="Female"/>
    <s v="High School"/>
    <n v="59091"/>
    <n v="191393"/>
    <x v="1"/>
    <x v="2"/>
    <n v="760"/>
    <s v="Business"/>
    <s v="Medium Income"/>
  </r>
  <r>
    <n v="220"/>
    <s v="Larry Flores"/>
    <s v="Female"/>
    <s v="High School"/>
    <n v="112834"/>
    <n v="494457"/>
    <x v="1"/>
    <x v="2"/>
    <n v="318"/>
    <s v="Salaried"/>
    <s v="High Income"/>
  </r>
  <r>
    <n v="221"/>
    <s v="Wendy Aguirre"/>
    <s v="Male"/>
    <s v="Post Graduate"/>
    <n v="104645"/>
    <n v="58877"/>
    <x v="0"/>
    <x v="0"/>
    <n v="710"/>
    <s v="Salaried"/>
    <s v="High Income"/>
  </r>
  <r>
    <n v="222"/>
    <s v="Michael Gonzalez"/>
    <s v="Female"/>
    <s v="Graduate"/>
    <n v="97875"/>
    <n v="204136"/>
    <x v="1"/>
    <x v="3"/>
    <n v="384"/>
    <s v="Salaried"/>
    <s v="High Income"/>
  </r>
  <r>
    <n v="223"/>
    <s v="Valerie Obrien"/>
    <s v="Male"/>
    <s v="Graduate"/>
    <n v="112879"/>
    <n v="496548"/>
    <x v="0"/>
    <x v="3"/>
    <n v="729"/>
    <s v="Salaried"/>
    <s v="High Income"/>
  </r>
  <r>
    <n v="224"/>
    <s v="Timothy Johnson"/>
    <s v="Male"/>
    <s v="Post Graduate"/>
    <n v="37513"/>
    <n v="68884"/>
    <x v="1"/>
    <x v="2"/>
    <n v="551"/>
    <s v="Salaried"/>
    <s v="Low Income"/>
  </r>
  <r>
    <n v="225"/>
    <s v="Michael Taylor"/>
    <s v="Male"/>
    <s v="High School"/>
    <n v="44045"/>
    <n v="28733"/>
    <x v="0"/>
    <x v="2"/>
    <n v="753"/>
    <s v="Salaried"/>
    <s v="Low Income"/>
  </r>
  <r>
    <n v="226"/>
    <s v="Bonnie Grant MD"/>
    <s v="Male"/>
    <s v="Post Graduate"/>
    <n v="100592"/>
    <n v="490778"/>
    <x v="0"/>
    <x v="1"/>
    <n v="584"/>
    <s v="Self-Employed"/>
    <s v="High Income"/>
  </r>
  <r>
    <n v="227"/>
    <s v="Nicole Hamilton"/>
    <s v="Female"/>
    <s v="Post Graduate"/>
    <n v="89815"/>
    <n v="149413"/>
    <x v="0"/>
    <x v="3"/>
    <n v="686"/>
    <s v="Self-Employed"/>
    <s v="High Income"/>
  </r>
  <r>
    <n v="228"/>
    <s v="Kimberly Wells"/>
    <s v="Female"/>
    <s v="Graduate"/>
    <n v="24879"/>
    <n v="237891"/>
    <x v="0"/>
    <x v="0"/>
    <n v="476"/>
    <s v="Salaried"/>
    <s v="Low Income"/>
  </r>
  <r>
    <n v="229"/>
    <s v="Elizabeth Kaiser DVM"/>
    <s v="Male"/>
    <s v="Graduate"/>
    <n v="81683"/>
    <n v="187193"/>
    <x v="1"/>
    <x v="3"/>
    <n v="827"/>
    <s v="Self-Employed"/>
    <s v="High Income"/>
  </r>
  <r>
    <n v="230"/>
    <s v="Tonya Wood"/>
    <s v="Male"/>
    <s v="Graduate"/>
    <n v="21758"/>
    <n v="22649"/>
    <x v="1"/>
    <x v="3"/>
    <n v="596"/>
    <s v="Salaried"/>
    <s v="Low Income"/>
  </r>
  <r>
    <n v="231"/>
    <s v="Jonathan Smith"/>
    <s v="Female"/>
    <s v="Graduate"/>
    <n v="36303"/>
    <n v="59917"/>
    <x v="0"/>
    <x v="2"/>
    <n v="818"/>
    <s v="Self-Employed"/>
    <s v="Low Income"/>
  </r>
  <r>
    <n v="232"/>
    <s v="Jennifer Hayes"/>
    <s v="Male"/>
    <s v="Post Graduate"/>
    <n v="53230"/>
    <n v="409116"/>
    <x v="0"/>
    <x v="0"/>
    <n v="409"/>
    <s v="Business"/>
    <s v="Medium Income"/>
  </r>
  <r>
    <n v="233"/>
    <s v="Jenny Joseph"/>
    <s v="Female"/>
    <s v="Post Graduate"/>
    <n v="111931"/>
    <n v="168650"/>
    <x v="1"/>
    <x v="3"/>
    <n v="524"/>
    <s v="Self-Employed"/>
    <s v="High Income"/>
  </r>
  <r>
    <n v="234"/>
    <s v="Frederick Reynolds"/>
    <s v="Female"/>
    <s v="Graduate"/>
    <n v="118463"/>
    <n v="391844"/>
    <x v="1"/>
    <x v="0"/>
    <n v="775"/>
    <s v="Business"/>
    <s v="High Income"/>
  </r>
  <r>
    <n v="235"/>
    <s v="Katherine Burns"/>
    <s v="Male"/>
    <s v="High School"/>
    <n v="60930"/>
    <n v="475595"/>
    <x v="0"/>
    <x v="1"/>
    <n v="539"/>
    <s v="Self-Employed"/>
    <s v="Medium Income"/>
  </r>
  <r>
    <n v="236"/>
    <s v="Amanda Duffy"/>
    <s v="Male"/>
    <s v="Graduate"/>
    <n v="63806"/>
    <n v="183201"/>
    <x v="1"/>
    <x v="0"/>
    <n v="827"/>
    <s v="Salaried"/>
    <s v="Medium Income"/>
  </r>
  <r>
    <n v="237"/>
    <s v="Zachary Fernandez"/>
    <s v="Male"/>
    <s v="High School"/>
    <n v="78395"/>
    <n v="340737"/>
    <x v="0"/>
    <x v="1"/>
    <n v="875"/>
    <s v="Business"/>
    <s v="Medium Income"/>
  </r>
  <r>
    <n v="238"/>
    <s v="Victoria Hernandez"/>
    <s v="Male"/>
    <s v="Post Graduate"/>
    <n v="106136"/>
    <n v="218987"/>
    <x v="0"/>
    <x v="2"/>
    <n v="369"/>
    <s v="Business"/>
    <s v="High Income"/>
  </r>
  <r>
    <n v="239"/>
    <s v="Daryl Nelson"/>
    <s v="Female"/>
    <s v="Post Graduate"/>
    <n v="67122"/>
    <n v="291062"/>
    <x v="1"/>
    <x v="2"/>
    <n v="805"/>
    <s v="Salaried"/>
    <s v="Medium Income"/>
  </r>
  <r>
    <n v="240"/>
    <s v="Rodney Cooper"/>
    <s v="Female"/>
    <s v="Graduate"/>
    <n v="24720"/>
    <n v="398927"/>
    <x v="0"/>
    <x v="3"/>
    <n v="715"/>
    <s v="Self-Employed"/>
    <s v="Low Income"/>
  </r>
  <r>
    <n v="241"/>
    <s v="Mrs. Christina Lane"/>
    <s v="Male"/>
    <s v="Post Graduate"/>
    <n v="48240"/>
    <n v="481026"/>
    <x v="0"/>
    <x v="1"/>
    <n v="730"/>
    <s v="Salaried"/>
    <s v="Low Income"/>
  </r>
  <r>
    <n v="242"/>
    <s v="Denise Curry"/>
    <s v="Male"/>
    <s v="High School"/>
    <n v="81621"/>
    <n v="443470"/>
    <x v="0"/>
    <x v="1"/>
    <n v="450"/>
    <s v="Self-Employed"/>
    <s v="High Income"/>
  </r>
  <r>
    <n v="243"/>
    <s v="Taylor Young"/>
    <s v="Female"/>
    <s v="High School"/>
    <n v="64241"/>
    <n v="191046"/>
    <x v="0"/>
    <x v="0"/>
    <n v="605"/>
    <s v="Self-Employed"/>
    <s v="Medium Income"/>
  </r>
  <r>
    <n v="244"/>
    <s v="Michael Gamble"/>
    <s v="Male"/>
    <s v="Post Graduate"/>
    <n v="99486"/>
    <n v="239214"/>
    <x v="0"/>
    <x v="1"/>
    <n v="708"/>
    <s v="Business"/>
    <s v="High Income"/>
  </r>
  <r>
    <n v="245"/>
    <s v="Regina Fitzpatrick"/>
    <s v="Female"/>
    <s v="High School"/>
    <n v="29673"/>
    <n v="192896"/>
    <x v="1"/>
    <x v="1"/>
    <n v="762"/>
    <s v="Self-Employed"/>
    <s v="Low Income"/>
  </r>
  <r>
    <n v="246"/>
    <s v="Alexandria Glenn"/>
    <s v="Female"/>
    <s v="High School"/>
    <n v="50085"/>
    <n v="336888"/>
    <x v="1"/>
    <x v="3"/>
    <n v="406"/>
    <s v="Self-Employed"/>
    <s v="Medium Income"/>
  </r>
  <r>
    <n v="247"/>
    <s v="Kristina Webb"/>
    <s v="Female"/>
    <s v="Graduate"/>
    <n v="24761"/>
    <n v="381272"/>
    <x v="0"/>
    <x v="2"/>
    <n v="585"/>
    <s v="Business"/>
    <s v="Low Income"/>
  </r>
  <r>
    <n v="248"/>
    <s v="Christina Davis"/>
    <s v="Male"/>
    <s v="Graduate"/>
    <n v="32849"/>
    <n v="420895"/>
    <x v="1"/>
    <x v="1"/>
    <n v="801"/>
    <s v="Business"/>
    <s v="Low Income"/>
  </r>
  <r>
    <n v="249"/>
    <s v="Betty Taylor DDS"/>
    <s v="Female"/>
    <s v="Graduate"/>
    <n v="74358"/>
    <n v="179080"/>
    <x v="1"/>
    <x v="0"/>
    <n v="773"/>
    <s v="Salaried"/>
    <s v="Medium Income"/>
  </r>
  <r>
    <n v="250"/>
    <s v="Diana Perez"/>
    <s v="Female"/>
    <s v="High School"/>
    <n v="45833"/>
    <n v="26815"/>
    <x v="0"/>
    <x v="1"/>
    <n v="390"/>
    <s v="Self-Employed"/>
    <s v="Low Income"/>
  </r>
  <r>
    <n v="251"/>
    <s v="Hannah Williams"/>
    <s v="Female"/>
    <s v="Post Graduate"/>
    <n v="81104"/>
    <n v="20873"/>
    <x v="1"/>
    <x v="1"/>
    <n v="607"/>
    <s v="Business"/>
    <s v="High Income"/>
  </r>
  <r>
    <n v="252"/>
    <s v="Casey Chapman"/>
    <s v="Male"/>
    <s v="High School"/>
    <n v="73095"/>
    <n v="18661"/>
    <x v="1"/>
    <x v="1"/>
    <n v="660"/>
    <s v="Salaried"/>
    <s v="Medium Income"/>
  </r>
  <r>
    <n v="253"/>
    <s v="Andrea Griffin"/>
    <s v="Female"/>
    <s v="High School"/>
    <n v="37208"/>
    <n v="88128"/>
    <x v="1"/>
    <x v="1"/>
    <n v="734"/>
    <s v="Self-Employed"/>
    <s v="Low Income"/>
  </r>
  <r>
    <n v="254"/>
    <s v="Diane Smith"/>
    <s v="Male"/>
    <s v="Graduate"/>
    <n v="34491"/>
    <n v="439384"/>
    <x v="0"/>
    <x v="0"/>
    <n v="323"/>
    <s v="Salaried"/>
    <s v="Low Income"/>
  </r>
  <r>
    <n v="255"/>
    <s v="Sarah Montoya"/>
    <s v="Female"/>
    <s v="Graduate"/>
    <n v="53609"/>
    <n v="158771"/>
    <x v="1"/>
    <x v="3"/>
    <n v="806"/>
    <s v="Self-Employed"/>
    <s v="Medium Income"/>
  </r>
  <r>
    <n v="256"/>
    <s v="Patricia Knox"/>
    <s v="Male"/>
    <s v="High School"/>
    <n v="21465"/>
    <n v="334434"/>
    <x v="0"/>
    <x v="3"/>
    <n v="436"/>
    <s v="Self-Employed"/>
    <s v="Low Income"/>
  </r>
  <r>
    <n v="257"/>
    <s v="Yvette Sloan"/>
    <s v="Female"/>
    <s v="High School"/>
    <n v="46526"/>
    <n v="30077"/>
    <x v="0"/>
    <x v="3"/>
    <n v="607"/>
    <s v="Self-Employed"/>
    <s v="Low Income"/>
  </r>
  <r>
    <n v="258"/>
    <s v="Crystal Hayes"/>
    <s v="Female"/>
    <s v="Post Graduate"/>
    <n v="35765"/>
    <n v="46375"/>
    <x v="1"/>
    <x v="2"/>
    <n v="804"/>
    <s v="Salaried"/>
    <s v="Low Income"/>
  </r>
  <r>
    <n v="259"/>
    <s v="Craig Burton"/>
    <s v="Female"/>
    <s v="Graduate"/>
    <n v="93150"/>
    <n v="189198"/>
    <x v="1"/>
    <x v="1"/>
    <n v="882"/>
    <s v="Self-Employed"/>
    <s v="High Income"/>
  </r>
  <r>
    <n v="260"/>
    <s v="Pamela Mora"/>
    <s v="Male"/>
    <s v="High School"/>
    <n v="117648"/>
    <n v="208433"/>
    <x v="1"/>
    <x v="0"/>
    <n v="511"/>
    <s v="Self-Employed"/>
    <s v="High Income"/>
  </r>
  <r>
    <n v="261"/>
    <s v="David Scott"/>
    <s v="Male"/>
    <s v="High School"/>
    <n v="27160"/>
    <n v="462381"/>
    <x v="1"/>
    <x v="2"/>
    <n v="451"/>
    <s v="Salaried"/>
    <s v="Low Income"/>
  </r>
  <r>
    <n v="262"/>
    <s v="Tammy Lester"/>
    <s v="Female"/>
    <s v="Post Graduate"/>
    <n v="33751"/>
    <n v="189030"/>
    <x v="0"/>
    <x v="2"/>
    <n v="782"/>
    <s v="Salaried"/>
    <s v="Low Income"/>
  </r>
  <r>
    <n v="263"/>
    <s v="David Moore"/>
    <s v="Female"/>
    <s v="High School"/>
    <n v="61070"/>
    <n v="313058"/>
    <x v="1"/>
    <x v="2"/>
    <n v="809"/>
    <s v="Business"/>
    <s v="Medium Income"/>
  </r>
  <r>
    <n v="264"/>
    <s v="Jonathan Torres"/>
    <s v="Female"/>
    <s v="High School"/>
    <n v="44451"/>
    <n v="428006"/>
    <x v="1"/>
    <x v="3"/>
    <n v="479"/>
    <s v="Business"/>
    <s v="Low Income"/>
  </r>
  <r>
    <n v="265"/>
    <s v="Thomas Hall"/>
    <s v="Male"/>
    <s v="Graduate"/>
    <n v="22559"/>
    <n v="449220"/>
    <x v="0"/>
    <x v="0"/>
    <n v="757"/>
    <s v="Salaried"/>
    <s v="Low Income"/>
  </r>
  <r>
    <n v="266"/>
    <s v="Ana Cook"/>
    <s v="Female"/>
    <s v="Graduate"/>
    <n v="58079"/>
    <n v="195877"/>
    <x v="0"/>
    <x v="2"/>
    <n v="643"/>
    <s v="Self-Employed"/>
    <s v="Medium Income"/>
  </r>
  <r>
    <n v="267"/>
    <s v="Matthew Everett DDS"/>
    <s v="Male"/>
    <s v="Graduate"/>
    <n v="52320"/>
    <n v="191280"/>
    <x v="0"/>
    <x v="0"/>
    <n v="827"/>
    <s v="Salaried"/>
    <s v="Medium Income"/>
  </r>
  <r>
    <n v="268"/>
    <s v="Vanessa Wood"/>
    <s v="Male"/>
    <s v="Graduate"/>
    <n v="25388"/>
    <n v="165262"/>
    <x v="1"/>
    <x v="0"/>
    <n v="717"/>
    <s v="Business"/>
    <s v="Low Income"/>
  </r>
  <r>
    <n v="269"/>
    <s v="Steven Russell"/>
    <s v="Female"/>
    <s v="Post Graduate"/>
    <n v="32819"/>
    <n v="371394"/>
    <x v="1"/>
    <x v="0"/>
    <n v="375"/>
    <s v="Salaried"/>
    <s v="Low Income"/>
  </r>
  <r>
    <n v="270"/>
    <s v="Javier Crawford"/>
    <s v="Male"/>
    <s v="High School"/>
    <n v="119331"/>
    <n v="25157"/>
    <x v="0"/>
    <x v="2"/>
    <n v="711"/>
    <s v="Business"/>
    <s v="High Income"/>
  </r>
  <r>
    <n v="271"/>
    <s v="Emily Wagner DVM"/>
    <s v="Male"/>
    <s v="Graduate"/>
    <n v="91032"/>
    <n v="431809"/>
    <x v="0"/>
    <x v="1"/>
    <n v="820"/>
    <s v="Business"/>
    <s v="High Income"/>
  </r>
  <r>
    <n v="272"/>
    <s v="Nicholas Jordan"/>
    <s v="Female"/>
    <s v="Graduate"/>
    <n v="72660"/>
    <n v="166881"/>
    <x v="0"/>
    <x v="3"/>
    <n v="819"/>
    <s v="Salaried"/>
    <s v="Medium Income"/>
  </r>
  <r>
    <n v="273"/>
    <s v="Morgan Reyes"/>
    <s v="Female"/>
    <s v="Post Graduate"/>
    <n v="26456"/>
    <n v="335666"/>
    <x v="1"/>
    <x v="3"/>
    <n v="533"/>
    <s v="Salaried"/>
    <s v="Low Income"/>
  </r>
  <r>
    <n v="274"/>
    <s v="Thomas Fox"/>
    <s v="Male"/>
    <s v="Post Graduate"/>
    <n v="80522"/>
    <n v="481612"/>
    <x v="0"/>
    <x v="0"/>
    <n v="646"/>
    <s v="Self-Employed"/>
    <s v="High Income"/>
  </r>
  <r>
    <n v="275"/>
    <s v="Jeanette Proctor"/>
    <s v="Female"/>
    <s v="High School"/>
    <n v="24641"/>
    <n v="185547"/>
    <x v="1"/>
    <x v="2"/>
    <n v="624"/>
    <s v="Business"/>
    <s v="Low Income"/>
  </r>
  <r>
    <n v="276"/>
    <s v="Dustin Mccarthy"/>
    <s v="Male"/>
    <s v="Graduate"/>
    <n v="36798"/>
    <n v="433338"/>
    <x v="1"/>
    <x v="2"/>
    <n v="492"/>
    <s v="Salaried"/>
    <s v="Low Income"/>
  </r>
  <r>
    <n v="277"/>
    <s v="Steven Miranda"/>
    <s v="Male"/>
    <s v="Graduate"/>
    <n v="94274"/>
    <n v="152351"/>
    <x v="1"/>
    <x v="2"/>
    <n v="560"/>
    <s v="Salaried"/>
    <s v="High Income"/>
  </r>
  <r>
    <n v="278"/>
    <s v="Tiffany Mack"/>
    <s v="Male"/>
    <s v="High School"/>
    <n v="35211"/>
    <n v="116267"/>
    <x v="1"/>
    <x v="1"/>
    <n v="872"/>
    <s v="Business"/>
    <s v="Low Income"/>
  </r>
  <r>
    <n v="279"/>
    <s v="Sheila Peterson"/>
    <s v="Female"/>
    <s v="Graduate"/>
    <n v="27880"/>
    <n v="41626"/>
    <x v="0"/>
    <x v="2"/>
    <n v="679"/>
    <s v="Salaried"/>
    <s v="Low Income"/>
  </r>
  <r>
    <n v="280"/>
    <s v="William Franklin"/>
    <s v="Female"/>
    <s v="Graduate"/>
    <n v="70873"/>
    <n v="299238"/>
    <x v="1"/>
    <x v="0"/>
    <n v="418"/>
    <s v="Salaried"/>
    <s v="Medium Income"/>
  </r>
  <r>
    <n v="281"/>
    <s v="Amanda Watts"/>
    <s v="Male"/>
    <s v="Graduate"/>
    <n v="36700"/>
    <n v="487559"/>
    <x v="0"/>
    <x v="1"/>
    <n v="316"/>
    <s v="Self-Employed"/>
    <s v="Low Income"/>
  </r>
  <r>
    <n v="282"/>
    <s v="Jonathan Marquez"/>
    <s v="Female"/>
    <s v="Graduate"/>
    <n v="99755"/>
    <n v="423778"/>
    <x v="0"/>
    <x v="2"/>
    <n v="635"/>
    <s v="Self-Employed"/>
    <s v="High Income"/>
  </r>
  <r>
    <n v="283"/>
    <s v="Shawn Estrada"/>
    <s v="Female"/>
    <s v="Graduate"/>
    <n v="71293"/>
    <n v="247341"/>
    <x v="0"/>
    <x v="2"/>
    <n v="856"/>
    <s v="Business"/>
    <s v="Medium Income"/>
  </r>
  <r>
    <n v="284"/>
    <s v="Arthur Porter"/>
    <s v="Female"/>
    <s v="High School"/>
    <n v="99410"/>
    <n v="452100"/>
    <x v="1"/>
    <x v="2"/>
    <n v="863"/>
    <s v="Salaried"/>
    <s v="High Income"/>
  </r>
  <r>
    <n v="285"/>
    <s v="Ryan Boyer"/>
    <s v="Male"/>
    <s v="Post Graduate"/>
    <n v="20387"/>
    <n v="182549"/>
    <x v="0"/>
    <x v="0"/>
    <n v="351"/>
    <s v="Business"/>
    <s v="Low Income"/>
  </r>
  <r>
    <n v="286"/>
    <s v="Jose Foster"/>
    <s v="Female"/>
    <s v="Post Graduate"/>
    <n v="59784"/>
    <n v="461545"/>
    <x v="1"/>
    <x v="3"/>
    <n v="693"/>
    <s v="Business"/>
    <s v="Medium Income"/>
  </r>
  <r>
    <n v="287"/>
    <s v="Michelle Franklin"/>
    <s v="Male"/>
    <s v="Post Graduate"/>
    <n v="99319"/>
    <n v="364193"/>
    <x v="1"/>
    <x v="3"/>
    <n v="623"/>
    <s v="Business"/>
    <s v="High Income"/>
  </r>
  <r>
    <n v="288"/>
    <s v="Brent Woods"/>
    <s v="Female"/>
    <s v="Graduate"/>
    <n v="50820"/>
    <n v="145411"/>
    <x v="1"/>
    <x v="2"/>
    <n v="530"/>
    <s v="Business"/>
    <s v="Medium Income"/>
  </r>
  <r>
    <n v="289"/>
    <s v="Jerry Ruiz"/>
    <s v="Female"/>
    <s v="High School"/>
    <n v="47686"/>
    <n v="353219"/>
    <x v="1"/>
    <x v="1"/>
    <n v="592"/>
    <s v="Self-Employed"/>
    <s v="Low Income"/>
  </r>
  <r>
    <n v="290"/>
    <s v="Trevor Hartman"/>
    <s v="Male"/>
    <s v="Post Graduate"/>
    <n v="79465"/>
    <n v="290336"/>
    <x v="1"/>
    <x v="2"/>
    <n v="818"/>
    <s v="Business"/>
    <s v="Medium Income"/>
  </r>
  <r>
    <n v="291"/>
    <s v="Hannah Adams"/>
    <s v="Male"/>
    <s v="Graduate"/>
    <n v="57322"/>
    <n v="33691"/>
    <x v="1"/>
    <x v="0"/>
    <n v="485"/>
    <s v="Business"/>
    <s v="Medium Income"/>
  </r>
  <r>
    <n v="292"/>
    <s v="Jill Olsen"/>
    <s v="Male"/>
    <s v="Graduate"/>
    <n v="41815"/>
    <n v="349098"/>
    <x v="0"/>
    <x v="1"/>
    <n v="523"/>
    <s v="Self-Employed"/>
    <s v="Low Income"/>
  </r>
  <r>
    <n v="293"/>
    <s v="William Perez"/>
    <s v="Female"/>
    <s v="High School"/>
    <n v="36440"/>
    <n v="409022"/>
    <x v="1"/>
    <x v="0"/>
    <n v="778"/>
    <s v="Salaried"/>
    <s v="Low Income"/>
  </r>
  <r>
    <n v="294"/>
    <s v="Ashley Watson"/>
    <s v="Female"/>
    <s v="Graduate"/>
    <n v="58353"/>
    <n v="93491"/>
    <x v="1"/>
    <x v="2"/>
    <n v="791"/>
    <s v="Self-Employed"/>
    <s v="Medium Income"/>
  </r>
  <r>
    <n v="295"/>
    <s v="Paige Jimenez"/>
    <s v="Male"/>
    <s v="Post Graduate"/>
    <n v="29891"/>
    <n v="396075"/>
    <x v="1"/>
    <x v="0"/>
    <n v="615"/>
    <s v="Salaried"/>
    <s v="Low Income"/>
  </r>
  <r>
    <n v="296"/>
    <s v="Heather Chavez"/>
    <s v="Male"/>
    <s v="Post Graduate"/>
    <n v="87364"/>
    <n v="95886"/>
    <x v="0"/>
    <x v="2"/>
    <n v="479"/>
    <s v="Self-Employed"/>
    <s v="High Income"/>
  </r>
  <r>
    <n v="297"/>
    <s v="Nathan Scott"/>
    <s v="Male"/>
    <s v="Post Graduate"/>
    <n v="40746"/>
    <n v="332645"/>
    <x v="1"/>
    <x v="2"/>
    <n v="501"/>
    <s v="Business"/>
    <s v="Low Income"/>
  </r>
  <r>
    <n v="298"/>
    <s v="Kendra Schultz"/>
    <s v="Male"/>
    <s v="Post Graduate"/>
    <n v="24962"/>
    <n v="188749"/>
    <x v="0"/>
    <x v="1"/>
    <n v="681"/>
    <s v="Business"/>
    <s v="Low Income"/>
  </r>
  <r>
    <n v="299"/>
    <s v="Joel Schultz"/>
    <s v="Female"/>
    <s v="Post Graduate"/>
    <n v="82827"/>
    <n v="149823"/>
    <x v="0"/>
    <x v="1"/>
    <n v="378"/>
    <s v="Salaried"/>
    <s v="High Income"/>
  </r>
  <r>
    <n v="300"/>
    <s v="Eric Gardner"/>
    <s v="Female"/>
    <s v="Post Graduate"/>
    <n v="55970"/>
    <n v="24841"/>
    <x v="0"/>
    <x v="3"/>
    <n v="694"/>
    <s v="Business"/>
    <s v="Medium Income"/>
  </r>
  <r>
    <n v="301"/>
    <s v="Melissa Smith"/>
    <s v="Female"/>
    <s v="High School"/>
    <n v="48302"/>
    <n v="180550"/>
    <x v="1"/>
    <x v="0"/>
    <n v="813"/>
    <s v="Business"/>
    <s v="Low Income"/>
  </r>
  <r>
    <n v="302"/>
    <s v="Cynthia Mitchell"/>
    <s v="Male"/>
    <s v="Graduate"/>
    <n v="29605"/>
    <n v="315951"/>
    <x v="0"/>
    <x v="3"/>
    <n v="335"/>
    <s v="Business"/>
    <s v="Low Income"/>
  </r>
  <r>
    <n v="303"/>
    <s v="John Becker"/>
    <s v="Male"/>
    <s v="Graduate"/>
    <n v="68119"/>
    <n v="252363"/>
    <x v="0"/>
    <x v="2"/>
    <n v="826"/>
    <s v="Salaried"/>
    <s v="Medium Income"/>
  </r>
  <r>
    <n v="304"/>
    <s v="Shawn Martin"/>
    <s v="Female"/>
    <s v="Graduate"/>
    <n v="78789"/>
    <n v="226806"/>
    <x v="0"/>
    <x v="3"/>
    <n v="487"/>
    <s v="Business"/>
    <s v="Medium Income"/>
  </r>
  <r>
    <n v="305"/>
    <s v="Terry Campbell"/>
    <s v="Male"/>
    <s v="Post Graduate"/>
    <n v="52562"/>
    <n v="384103"/>
    <x v="0"/>
    <x v="2"/>
    <n v="578"/>
    <s v="Self-Employed"/>
    <s v="Medium Income"/>
  </r>
  <r>
    <n v="306"/>
    <s v="Jennifer Hernandez"/>
    <s v="Female"/>
    <s v="Post Graduate"/>
    <n v="56998"/>
    <n v="461788"/>
    <x v="0"/>
    <x v="0"/>
    <n v="371"/>
    <s v="Business"/>
    <s v="Medium Income"/>
  </r>
  <r>
    <n v="307"/>
    <s v="Alyssa Gibson"/>
    <s v="Male"/>
    <s v="Graduate"/>
    <n v="99817"/>
    <n v="340127"/>
    <x v="0"/>
    <x v="3"/>
    <n v="597"/>
    <s v="Self-Employed"/>
    <s v="High Income"/>
  </r>
  <r>
    <n v="308"/>
    <s v="Christopher Green"/>
    <s v="Male"/>
    <s v="Graduate"/>
    <n v="52465"/>
    <n v="169612"/>
    <x v="1"/>
    <x v="1"/>
    <n v="581"/>
    <s v="Business"/>
    <s v="Medium Income"/>
  </r>
  <r>
    <n v="309"/>
    <s v="Nancy Wade"/>
    <s v="Female"/>
    <s v="Graduate"/>
    <n v="107880"/>
    <n v="429814"/>
    <x v="1"/>
    <x v="1"/>
    <n v="706"/>
    <s v="Self-Employed"/>
    <s v="High Income"/>
  </r>
  <r>
    <n v="310"/>
    <s v="Kari Torres"/>
    <s v="Female"/>
    <s v="High School"/>
    <n v="86918"/>
    <n v="124902"/>
    <x v="0"/>
    <x v="1"/>
    <n v="627"/>
    <s v="Self-Employed"/>
    <s v="High Income"/>
  </r>
  <r>
    <n v="311"/>
    <s v="James Aguirre"/>
    <s v="Female"/>
    <s v="High School"/>
    <n v="87672"/>
    <n v="480733"/>
    <x v="1"/>
    <x v="0"/>
    <n v="843"/>
    <s v="Self-Employed"/>
    <s v="High Income"/>
  </r>
  <r>
    <n v="312"/>
    <s v="Brent Drake"/>
    <s v="Male"/>
    <s v="High School"/>
    <n v="115510"/>
    <n v="196330"/>
    <x v="1"/>
    <x v="2"/>
    <n v="365"/>
    <s v="Business"/>
    <s v="High Income"/>
  </r>
  <r>
    <n v="313"/>
    <s v="Leslie Jordan"/>
    <s v="Female"/>
    <s v="Graduate"/>
    <n v="39485"/>
    <n v="280179"/>
    <x v="1"/>
    <x v="2"/>
    <n v="368"/>
    <s v="Salaried"/>
    <s v="Low Income"/>
  </r>
  <r>
    <n v="314"/>
    <s v="Daniel Suarez"/>
    <s v="Male"/>
    <s v="Post Graduate"/>
    <n v="21098"/>
    <n v="438328"/>
    <x v="0"/>
    <x v="2"/>
    <n v="580"/>
    <s v="Salaried"/>
    <s v="Low Income"/>
  </r>
  <r>
    <n v="315"/>
    <s v="Renee Phillips"/>
    <s v="Male"/>
    <s v="High School"/>
    <n v="75801"/>
    <n v="69697"/>
    <x v="0"/>
    <x v="1"/>
    <n v="516"/>
    <s v="Salaried"/>
    <s v="Medium Income"/>
  </r>
  <r>
    <n v="316"/>
    <s v="Daniel Fuentes"/>
    <s v="Male"/>
    <s v="Post Graduate"/>
    <n v="111773"/>
    <n v="323316"/>
    <x v="0"/>
    <x v="2"/>
    <n v="308"/>
    <s v="Self-Employed"/>
    <s v="High Income"/>
  </r>
  <r>
    <n v="317"/>
    <s v="Donald Craig"/>
    <s v="Female"/>
    <s v="Post Graduate"/>
    <n v="97852"/>
    <n v="261800"/>
    <x v="0"/>
    <x v="3"/>
    <n v="520"/>
    <s v="Self-Employed"/>
    <s v="High Income"/>
  </r>
  <r>
    <n v="318"/>
    <s v="Andrew Moore DVM"/>
    <s v="Female"/>
    <s v="Graduate"/>
    <n v="88865"/>
    <n v="141613"/>
    <x v="1"/>
    <x v="2"/>
    <n v="641"/>
    <s v="Business"/>
    <s v="High Income"/>
  </r>
  <r>
    <n v="319"/>
    <s v="Teresa Myers"/>
    <s v="Female"/>
    <s v="Graduate"/>
    <n v="119147"/>
    <n v="72184"/>
    <x v="1"/>
    <x v="3"/>
    <n v="486"/>
    <s v="Salaried"/>
    <s v="High Income"/>
  </r>
  <r>
    <n v="320"/>
    <s v="Matthew Elliott"/>
    <s v="Male"/>
    <s v="High School"/>
    <n v="71823"/>
    <n v="31223"/>
    <x v="0"/>
    <x v="0"/>
    <n v="718"/>
    <s v="Business"/>
    <s v="Medium Income"/>
  </r>
  <r>
    <n v="321"/>
    <s v="Leslie Riley"/>
    <s v="Female"/>
    <s v="Graduate"/>
    <n v="36392"/>
    <n v="198220"/>
    <x v="0"/>
    <x v="3"/>
    <n v="721"/>
    <s v="Business"/>
    <s v="Low Income"/>
  </r>
  <r>
    <n v="322"/>
    <s v="Amanda Kennedy"/>
    <s v="Female"/>
    <s v="High School"/>
    <n v="42053"/>
    <n v="52908"/>
    <x v="1"/>
    <x v="2"/>
    <n v="795"/>
    <s v="Salaried"/>
    <s v="Low Income"/>
  </r>
  <r>
    <n v="323"/>
    <s v="Tiffany Johnson"/>
    <s v="Female"/>
    <s v="Post Graduate"/>
    <n v="37646"/>
    <n v="35899"/>
    <x v="1"/>
    <x v="0"/>
    <n v="300"/>
    <s v="Business"/>
    <s v="Low Income"/>
  </r>
  <r>
    <n v="324"/>
    <s v="Angel Acosta"/>
    <s v="Female"/>
    <s v="Graduate"/>
    <n v="30594"/>
    <n v="260603"/>
    <x v="0"/>
    <x v="1"/>
    <n v="526"/>
    <s v="Salaried"/>
    <s v="Low Income"/>
  </r>
  <r>
    <n v="325"/>
    <s v="Mary Arnold"/>
    <s v="Female"/>
    <s v="High School"/>
    <n v="100119"/>
    <n v="345453"/>
    <x v="0"/>
    <x v="3"/>
    <n v="704"/>
    <s v="Business"/>
    <s v="High Income"/>
  </r>
  <r>
    <n v="326"/>
    <s v="Michael Edwards"/>
    <s v="Male"/>
    <s v="Graduate"/>
    <n v="39571"/>
    <n v="87307"/>
    <x v="1"/>
    <x v="2"/>
    <n v="348"/>
    <s v="Business"/>
    <s v="Low Income"/>
  </r>
  <r>
    <n v="327"/>
    <s v="Christopher Bowers"/>
    <s v="Female"/>
    <s v="High School"/>
    <n v="78422"/>
    <n v="50485"/>
    <x v="0"/>
    <x v="0"/>
    <n v="648"/>
    <s v="Self-Employed"/>
    <s v="Medium Income"/>
  </r>
  <r>
    <n v="328"/>
    <s v="Scott Winters"/>
    <s v="Male"/>
    <s v="Graduate"/>
    <n v="45917"/>
    <n v="448175"/>
    <x v="0"/>
    <x v="0"/>
    <n v="718"/>
    <s v="Self-Employed"/>
    <s v="Low Income"/>
  </r>
  <r>
    <n v="329"/>
    <s v="Thomas Burgess"/>
    <s v="Female"/>
    <s v="High School"/>
    <n v="38301"/>
    <n v="176842"/>
    <x v="1"/>
    <x v="1"/>
    <n v="855"/>
    <s v="Salaried"/>
    <s v="Low Income"/>
  </r>
  <r>
    <n v="330"/>
    <s v="Erik Johns"/>
    <s v="Male"/>
    <s v="Graduate"/>
    <n v="107164"/>
    <n v="27812"/>
    <x v="1"/>
    <x v="3"/>
    <n v="886"/>
    <s v="Salaried"/>
    <s v="High Income"/>
  </r>
  <r>
    <n v="331"/>
    <s v="Richard Brown"/>
    <s v="Female"/>
    <s v="Post Graduate"/>
    <n v="71993"/>
    <n v="132830"/>
    <x v="0"/>
    <x v="3"/>
    <n v="491"/>
    <s v="Self-Employed"/>
    <s v="Medium Income"/>
  </r>
  <r>
    <n v="332"/>
    <s v="Jonathan Cuevas"/>
    <s v="Female"/>
    <s v="Post Graduate"/>
    <n v="116825"/>
    <n v="314339"/>
    <x v="0"/>
    <x v="3"/>
    <n v="664"/>
    <s v="Salaried"/>
    <s v="High Income"/>
  </r>
  <r>
    <n v="333"/>
    <s v="Tonya Miranda"/>
    <s v="Female"/>
    <s v="High School"/>
    <n v="52910"/>
    <n v="372820"/>
    <x v="1"/>
    <x v="2"/>
    <n v="442"/>
    <s v="Business"/>
    <s v="Medium Income"/>
  </r>
  <r>
    <n v="334"/>
    <s v="Rodney Baird"/>
    <s v="Male"/>
    <s v="High School"/>
    <n v="103261"/>
    <n v="260233"/>
    <x v="0"/>
    <x v="1"/>
    <n v="883"/>
    <s v="Salaried"/>
    <s v="High Income"/>
  </r>
  <r>
    <n v="335"/>
    <s v="James Jackson"/>
    <s v="Male"/>
    <s v="Post Graduate"/>
    <n v="20427"/>
    <n v="265701"/>
    <x v="1"/>
    <x v="0"/>
    <n v="516"/>
    <s v="Salaried"/>
    <s v="Low Income"/>
  </r>
  <r>
    <n v="336"/>
    <s v="Mark Bowen"/>
    <s v="Female"/>
    <s v="High School"/>
    <n v="106490"/>
    <n v="427107"/>
    <x v="0"/>
    <x v="3"/>
    <n v="772"/>
    <s v="Self-Employed"/>
    <s v="High Income"/>
  </r>
  <r>
    <n v="337"/>
    <s v="Rhonda Green"/>
    <s v="Male"/>
    <s v="High School"/>
    <n v="119003"/>
    <n v="268729"/>
    <x v="0"/>
    <x v="2"/>
    <n v="629"/>
    <s v="Business"/>
    <s v="High Income"/>
  </r>
  <r>
    <n v="338"/>
    <s v="Lee Randolph"/>
    <s v="Female"/>
    <s v="Post Graduate"/>
    <n v="68347"/>
    <n v="70503"/>
    <x v="0"/>
    <x v="1"/>
    <n v="800"/>
    <s v="Salaried"/>
    <s v="Medium Income"/>
  </r>
  <r>
    <n v="339"/>
    <s v="Dean Sanchez"/>
    <s v="Female"/>
    <s v="Post Graduate"/>
    <n v="113850"/>
    <n v="264061"/>
    <x v="1"/>
    <x v="3"/>
    <n v="373"/>
    <s v="Business"/>
    <s v="High Income"/>
  </r>
  <r>
    <n v="340"/>
    <s v="Ashley Nguyen"/>
    <s v="Male"/>
    <s v="Post Graduate"/>
    <n v="110235"/>
    <n v="250852"/>
    <x v="0"/>
    <x v="0"/>
    <n v="686"/>
    <s v="Business"/>
    <s v="High Income"/>
  </r>
  <r>
    <n v="341"/>
    <s v="John Clark"/>
    <s v="Female"/>
    <s v="Graduate"/>
    <n v="55035"/>
    <n v="6206"/>
    <x v="0"/>
    <x v="0"/>
    <n v="725"/>
    <s v="Salaried"/>
    <s v="Medium Income"/>
  </r>
  <r>
    <n v="342"/>
    <s v="Chad Carrillo"/>
    <s v="Female"/>
    <s v="Post Graduate"/>
    <n v="55242"/>
    <n v="469094"/>
    <x v="1"/>
    <x v="3"/>
    <n v="661"/>
    <s v="Salaried"/>
    <s v="Medium Income"/>
  </r>
  <r>
    <n v="343"/>
    <s v="William Moore"/>
    <s v="Female"/>
    <s v="Post Graduate"/>
    <n v="87005"/>
    <n v="67582"/>
    <x v="1"/>
    <x v="3"/>
    <n v="365"/>
    <s v="Business"/>
    <s v="High Income"/>
  </r>
  <r>
    <n v="344"/>
    <s v="Nancy Williams"/>
    <s v="Female"/>
    <s v="Post Graduate"/>
    <n v="79314"/>
    <n v="86708"/>
    <x v="1"/>
    <x v="3"/>
    <n v="327"/>
    <s v="Business"/>
    <s v="Medium Income"/>
  </r>
  <r>
    <n v="345"/>
    <s v="Denise Garcia"/>
    <s v="Male"/>
    <s v="Graduate"/>
    <n v="103697"/>
    <n v="205215"/>
    <x v="0"/>
    <x v="0"/>
    <n v="401"/>
    <s v="Salaried"/>
    <s v="High Income"/>
  </r>
  <r>
    <n v="346"/>
    <s v="Rachel Medina"/>
    <s v="Female"/>
    <s v="Graduate"/>
    <n v="102174"/>
    <n v="456953"/>
    <x v="0"/>
    <x v="2"/>
    <n v="823"/>
    <s v="Salaried"/>
    <s v="High Income"/>
  </r>
  <r>
    <n v="347"/>
    <s v="Frank Dean"/>
    <s v="Male"/>
    <s v="Post Graduate"/>
    <n v="117098"/>
    <n v="108608"/>
    <x v="1"/>
    <x v="1"/>
    <n v="817"/>
    <s v="Self-Employed"/>
    <s v="High Income"/>
  </r>
  <r>
    <n v="348"/>
    <s v="Kevin Spencer"/>
    <s v="Female"/>
    <s v="High School"/>
    <n v="73462"/>
    <n v="206359"/>
    <x v="0"/>
    <x v="0"/>
    <n v="820"/>
    <s v="Salaried"/>
    <s v="Medium Income"/>
  </r>
  <r>
    <n v="349"/>
    <s v="Arthur Jackson"/>
    <s v="Female"/>
    <s v="High School"/>
    <n v="97114"/>
    <n v="225507"/>
    <x v="0"/>
    <x v="3"/>
    <n v="550"/>
    <s v="Business"/>
    <s v="High Income"/>
  </r>
  <r>
    <n v="350"/>
    <s v="Laura Phillips"/>
    <s v="Female"/>
    <s v="High School"/>
    <n v="47244"/>
    <n v="135501"/>
    <x v="1"/>
    <x v="1"/>
    <n v="554"/>
    <s v="Salaried"/>
    <s v="Low Income"/>
  </r>
  <r>
    <n v="351"/>
    <s v="Johnny Rodriguez"/>
    <s v="Male"/>
    <s v="Post Graduate"/>
    <n v="34744"/>
    <n v="211001"/>
    <x v="1"/>
    <x v="1"/>
    <n v="353"/>
    <s v="Salaried"/>
    <s v="Low Income"/>
  </r>
  <r>
    <n v="352"/>
    <s v="Joshua Diaz"/>
    <s v="Male"/>
    <s v="High School"/>
    <n v="47819"/>
    <n v="173097"/>
    <x v="0"/>
    <x v="1"/>
    <n v="756"/>
    <s v="Salaried"/>
    <s v="Low Income"/>
  </r>
  <r>
    <n v="353"/>
    <s v="Justin Roberts"/>
    <s v="Female"/>
    <s v="Graduate"/>
    <n v="83420"/>
    <n v="304088"/>
    <x v="0"/>
    <x v="0"/>
    <n v="622"/>
    <s v="Salaried"/>
    <s v="High Income"/>
  </r>
  <r>
    <n v="354"/>
    <s v="Brandon Gonzalez"/>
    <s v="Male"/>
    <s v="Graduate"/>
    <n v="49967"/>
    <n v="356070"/>
    <x v="1"/>
    <x v="2"/>
    <n v="454"/>
    <s v="Salaried"/>
    <s v="Low Income"/>
  </r>
  <r>
    <n v="355"/>
    <s v="Jasmine Coleman"/>
    <s v="Male"/>
    <s v="High School"/>
    <n v="74461"/>
    <n v="288390"/>
    <x v="0"/>
    <x v="1"/>
    <n v="445"/>
    <s v="Salaried"/>
    <s v="Medium Income"/>
  </r>
  <r>
    <n v="356"/>
    <s v="Thomas Campbell"/>
    <s v="Female"/>
    <s v="Post Graduate"/>
    <n v="62018"/>
    <n v="51653"/>
    <x v="1"/>
    <x v="0"/>
    <n v="887"/>
    <s v="Business"/>
    <s v="Medium Income"/>
  </r>
  <r>
    <n v="357"/>
    <s v="Andrea Gray"/>
    <s v="Female"/>
    <s v="Post Graduate"/>
    <n v="76773"/>
    <n v="341979"/>
    <x v="0"/>
    <x v="2"/>
    <n v="685"/>
    <s v="Salaried"/>
    <s v="Medium Income"/>
  </r>
  <r>
    <n v="358"/>
    <s v="Jon Keller"/>
    <s v="Male"/>
    <s v="High School"/>
    <n v="106648"/>
    <n v="344755"/>
    <x v="1"/>
    <x v="3"/>
    <n v="701"/>
    <s v="Salaried"/>
    <s v="High Income"/>
  </r>
  <r>
    <n v="359"/>
    <s v="Sharon Ford"/>
    <s v="Female"/>
    <s v="High School"/>
    <n v="68063"/>
    <n v="422605"/>
    <x v="1"/>
    <x v="0"/>
    <n v="321"/>
    <s v="Salaried"/>
    <s v="Medium Income"/>
  </r>
  <r>
    <n v="360"/>
    <s v="Jennifer Martin MD"/>
    <s v="Male"/>
    <s v="Post Graduate"/>
    <n v="86545"/>
    <n v="107174"/>
    <x v="0"/>
    <x v="3"/>
    <n v="615"/>
    <s v="Business"/>
    <s v="High Income"/>
  </r>
  <r>
    <n v="361"/>
    <s v="Christopher Hill"/>
    <s v="Female"/>
    <s v="Post Graduate"/>
    <n v="54366"/>
    <n v="442705"/>
    <x v="0"/>
    <x v="2"/>
    <n v="835"/>
    <s v="Self-Employed"/>
    <s v="Medium Income"/>
  </r>
  <r>
    <n v="362"/>
    <s v="Heather Morris"/>
    <s v="Female"/>
    <s v="Graduate"/>
    <n v="92705"/>
    <n v="227505"/>
    <x v="1"/>
    <x v="1"/>
    <n v="734"/>
    <s v="Salaried"/>
    <s v="High Income"/>
  </r>
  <r>
    <n v="363"/>
    <s v="Ronnie Huber"/>
    <s v="Female"/>
    <s v="Post Graduate"/>
    <n v="62686"/>
    <n v="174480"/>
    <x v="1"/>
    <x v="1"/>
    <n v="466"/>
    <s v="Business"/>
    <s v="Medium Income"/>
  </r>
  <r>
    <n v="364"/>
    <s v="Rebecca Woodward"/>
    <s v="Male"/>
    <s v="Post Graduate"/>
    <n v="92790"/>
    <n v="400836"/>
    <x v="0"/>
    <x v="2"/>
    <n v="678"/>
    <s v="Self-Employed"/>
    <s v="High Income"/>
  </r>
  <r>
    <n v="365"/>
    <s v="Brittany Ford"/>
    <s v="Female"/>
    <s v="Graduate"/>
    <n v="102805"/>
    <n v="395424"/>
    <x v="1"/>
    <x v="0"/>
    <n v="881"/>
    <s v="Self-Employed"/>
    <s v="High Income"/>
  </r>
  <r>
    <n v="366"/>
    <s v="William Collier"/>
    <s v="Female"/>
    <s v="High School"/>
    <n v="53918"/>
    <n v="381603"/>
    <x v="0"/>
    <x v="0"/>
    <n v="398"/>
    <s v="Business"/>
    <s v="Medium Income"/>
  </r>
  <r>
    <n v="367"/>
    <s v="Kathleen Miller"/>
    <s v="Female"/>
    <s v="Post Graduate"/>
    <n v="31135"/>
    <n v="99208"/>
    <x v="1"/>
    <x v="0"/>
    <n v="624"/>
    <s v="Self-Employed"/>
    <s v="Low Income"/>
  </r>
  <r>
    <n v="368"/>
    <s v="Laura Bradley"/>
    <s v="Female"/>
    <s v="Graduate"/>
    <n v="25010"/>
    <n v="16965"/>
    <x v="0"/>
    <x v="3"/>
    <n v="831"/>
    <s v="Self-Employed"/>
    <s v="Low Income"/>
  </r>
  <r>
    <n v="369"/>
    <s v="Kelly Deleon"/>
    <s v="Female"/>
    <s v="Graduate"/>
    <n v="82441"/>
    <n v="417402"/>
    <x v="0"/>
    <x v="3"/>
    <n v="479"/>
    <s v="Salaried"/>
    <s v="High Income"/>
  </r>
  <r>
    <n v="370"/>
    <s v="Christian Garcia"/>
    <s v="Male"/>
    <s v="Post Graduate"/>
    <n v="44814"/>
    <n v="132737"/>
    <x v="1"/>
    <x v="2"/>
    <n v="374"/>
    <s v="Self-Employed"/>
    <s v="Low Income"/>
  </r>
  <r>
    <n v="371"/>
    <s v="Anne Huffman"/>
    <s v="Male"/>
    <s v="Graduate"/>
    <n v="28588"/>
    <n v="240107"/>
    <x v="0"/>
    <x v="0"/>
    <n v="308"/>
    <s v="Self-Employed"/>
    <s v="Low Income"/>
  </r>
  <r>
    <n v="372"/>
    <s v="Lisa Kelly"/>
    <s v="Male"/>
    <s v="High School"/>
    <n v="53832"/>
    <n v="282127"/>
    <x v="1"/>
    <x v="0"/>
    <n v="489"/>
    <s v="Business"/>
    <s v="Medium Income"/>
  </r>
  <r>
    <n v="373"/>
    <s v="Rachel Howe"/>
    <s v="Female"/>
    <s v="Graduate"/>
    <n v="38678"/>
    <n v="298468"/>
    <x v="0"/>
    <x v="2"/>
    <n v="313"/>
    <s v="Business"/>
    <s v="Low Income"/>
  </r>
  <r>
    <n v="374"/>
    <s v="Kelly Garza"/>
    <s v="Male"/>
    <s v="Post Graduate"/>
    <n v="41680"/>
    <n v="163095"/>
    <x v="0"/>
    <x v="2"/>
    <n v="751"/>
    <s v="Business"/>
    <s v="Low Income"/>
  </r>
  <r>
    <n v="375"/>
    <s v="Gregory Ryan"/>
    <s v="Male"/>
    <s v="Post Graduate"/>
    <n v="104254"/>
    <n v="440777"/>
    <x v="0"/>
    <x v="3"/>
    <n v="739"/>
    <s v="Self-Employed"/>
    <s v="High Income"/>
  </r>
  <r>
    <n v="376"/>
    <s v="Jamie Oliver"/>
    <s v="Male"/>
    <s v="Graduate"/>
    <n v="44347"/>
    <n v="216025"/>
    <x v="0"/>
    <x v="2"/>
    <n v="896"/>
    <s v="Salaried"/>
    <s v="Low Income"/>
  </r>
  <r>
    <n v="377"/>
    <s v="James Barton"/>
    <s v="Male"/>
    <s v="High School"/>
    <n v="42377"/>
    <n v="186885"/>
    <x v="1"/>
    <x v="2"/>
    <n v="648"/>
    <s v="Salaried"/>
    <s v="Low Income"/>
  </r>
  <r>
    <n v="378"/>
    <s v="Andrea Rice"/>
    <s v="Female"/>
    <s v="Post Graduate"/>
    <n v="76198"/>
    <n v="318950"/>
    <x v="1"/>
    <x v="2"/>
    <n v="671"/>
    <s v="Self-Employed"/>
    <s v="Medium Income"/>
  </r>
  <r>
    <n v="379"/>
    <s v="Brooke Clarke"/>
    <s v="Female"/>
    <s v="Graduate"/>
    <n v="28227"/>
    <n v="311342"/>
    <x v="0"/>
    <x v="3"/>
    <n v="780"/>
    <s v="Salaried"/>
    <s v="Low Income"/>
  </r>
  <r>
    <n v="380"/>
    <s v="Robert Rodriguez"/>
    <s v="Male"/>
    <s v="Graduate"/>
    <n v="27137"/>
    <n v="230532"/>
    <x v="1"/>
    <x v="3"/>
    <n v="600"/>
    <s v="Business"/>
    <s v="Low Income"/>
  </r>
  <r>
    <n v="381"/>
    <s v="Cheyenne Williams"/>
    <s v="Male"/>
    <s v="Graduate"/>
    <n v="31044"/>
    <n v="291700"/>
    <x v="0"/>
    <x v="3"/>
    <n v="603"/>
    <s v="Salaried"/>
    <s v="Low Income"/>
  </r>
  <r>
    <n v="382"/>
    <s v="Sandra Stewart"/>
    <s v="Male"/>
    <s v="High School"/>
    <n v="65688"/>
    <n v="132895"/>
    <x v="0"/>
    <x v="2"/>
    <n v="333"/>
    <s v="Self-Employed"/>
    <s v="Medium Income"/>
  </r>
  <r>
    <n v="383"/>
    <s v="Karen Skinner"/>
    <s v="Male"/>
    <s v="Post Graduate"/>
    <n v="96024"/>
    <n v="357618"/>
    <x v="1"/>
    <x v="1"/>
    <n v="381"/>
    <s v="Salaried"/>
    <s v="High Income"/>
  </r>
  <r>
    <n v="384"/>
    <s v="Marc Davis"/>
    <s v="Male"/>
    <s v="Graduate"/>
    <n v="95642"/>
    <n v="18245"/>
    <x v="1"/>
    <x v="1"/>
    <n v="709"/>
    <s v="Self-Employed"/>
    <s v="High Income"/>
  </r>
  <r>
    <n v="385"/>
    <s v="Jennifer Reynolds"/>
    <s v="Female"/>
    <s v="Graduate"/>
    <n v="41797"/>
    <n v="424814"/>
    <x v="0"/>
    <x v="2"/>
    <n v="877"/>
    <s v="Business"/>
    <s v="Low Income"/>
  </r>
  <r>
    <n v="386"/>
    <s v="David Santiago"/>
    <s v="Female"/>
    <s v="High School"/>
    <n v="89014"/>
    <n v="148525"/>
    <x v="0"/>
    <x v="3"/>
    <n v="888"/>
    <s v="Business"/>
    <s v="High Income"/>
  </r>
  <r>
    <n v="387"/>
    <s v="Michael Shah"/>
    <s v="Male"/>
    <s v="Graduate"/>
    <n v="83924"/>
    <n v="159994"/>
    <x v="1"/>
    <x v="0"/>
    <n v="797"/>
    <s v="Salaried"/>
    <s v="High Income"/>
  </r>
  <r>
    <n v="388"/>
    <s v="Michelle Ortiz"/>
    <s v="Female"/>
    <s v="Graduate"/>
    <n v="46377"/>
    <n v="488524"/>
    <x v="0"/>
    <x v="2"/>
    <n v="404"/>
    <s v="Salaried"/>
    <s v="Low Income"/>
  </r>
  <r>
    <n v="389"/>
    <s v="Jamie Stafford DVM"/>
    <s v="Male"/>
    <s v="High School"/>
    <n v="29769"/>
    <n v="293493"/>
    <x v="0"/>
    <x v="0"/>
    <n v="580"/>
    <s v="Business"/>
    <s v="Low Income"/>
  </r>
  <r>
    <n v="390"/>
    <s v="Christian Hebert"/>
    <s v="Male"/>
    <s v="Post Graduate"/>
    <n v="47238"/>
    <n v="177180"/>
    <x v="0"/>
    <x v="2"/>
    <n v="439"/>
    <s v="Self-Employed"/>
    <s v="Low Income"/>
  </r>
  <r>
    <n v="391"/>
    <s v="Kimberly Gill"/>
    <s v="Female"/>
    <s v="High School"/>
    <n v="96630"/>
    <n v="406826"/>
    <x v="0"/>
    <x v="3"/>
    <n v="664"/>
    <s v="Self-Employed"/>
    <s v="High Income"/>
  </r>
  <r>
    <n v="392"/>
    <s v="Warren Curtis"/>
    <s v="Male"/>
    <s v="Post Graduate"/>
    <n v="112875"/>
    <n v="343632"/>
    <x v="0"/>
    <x v="1"/>
    <n v="524"/>
    <s v="Salaried"/>
    <s v="High Income"/>
  </r>
  <r>
    <n v="393"/>
    <s v="Anna Kelley"/>
    <s v="Male"/>
    <s v="High School"/>
    <n v="64476"/>
    <n v="351870"/>
    <x v="1"/>
    <x v="3"/>
    <n v="607"/>
    <s v="Business"/>
    <s v="Medium Income"/>
  </r>
  <r>
    <n v="394"/>
    <s v="Dale White"/>
    <s v="Female"/>
    <s v="High School"/>
    <n v="34265"/>
    <n v="432670"/>
    <x v="0"/>
    <x v="1"/>
    <n v="527"/>
    <s v="Self-Employed"/>
    <s v="Low Income"/>
  </r>
  <r>
    <n v="395"/>
    <s v="Anthony Shields"/>
    <s v="Female"/>
    <s v="High School"/>
    <n v="20888"/>
    <n v="375774"/>
    <x v="1"/>
    <x v="2"/>
    <n v="510"/>
    <s v="Salaried"/>
    <s v="Low Income"/>
  </r>
  <r>
    <n v="396"/>
    <s v="Jeffrey Harrell"/>
    <s v="Male"/>
    <s v="High School"/>
    <n v="43252"/>
    <n v="328845"/>
    <x v="0"/>
    <x v="2"/>
    <n v="823"/>
    <s v="Self-Employed"/>
    <s v="Low Income"/>
  </r>
  <r>
    <n v="397"/>
    <s v="Geoffrey Jones"/>
    <s v="Male"/>
    <s v="High School"/>
    <n v="53210"/>
    <n v="182004"/>
    <x v="1"/>
    <x v="0"/>
    <n v="869"/>
    <s v="Salaried"/>
    <s v="Medium Income"/>
  </r>
  <r>
    <n v="398"/>
    <s v="Bonnie Perez"/>
    <s v="Male"/>
    <s v="High School"/>
    <n v="109620"/>
    <n v="373484"/>
    <x v="0"/>
    <x v="2"/>
    <n v="474"/>
    <s v="Self-Employed"/>
    <s v="High Income"/>
  </r>
  <r>
    <n v="399"/>
    <s v="Jeff Lewis"/>
    <s v="Female"/>
    <s v="High School"/>
    <n v="110143"/>
    <n v="331325"/>
    <x v="1"/>
    <x v="1"/>
    <n v="513"/>
    <s v="Business"/>
    <s v="High Income"/>
  </r>
  <r>
    <n v="400"/>
    <s v="Courtney Hunter"/>
    <s v="Female"/>
    <s v="Graduate"/>
    <n v="46643"/>
    <n v="350841"/>
    <x v="0"/>
    <x v="0"/>
    <n v="509"/>
    <s v="Self-Employed"/>
    <s v="Low Income"/>
  </r>
  <r>
    <n v="401"/>
    <s v="Kim George"/>
    <s v="Female"/>
    <s v="Post Graduate"/>
    <n v="43224"/>
    <n v="327416"/>
    <x v="0"/>
    <x v="3"/>
    <n v="305"/>
    <s v="Business"/>
    <s v="Low Income"/>
  </r>
  <r>
    <n v="402"/>
    <s v="Katrina Hale DVM"/>
    <s v="Female"/>
    <s v="High School"/>
    <n v="115215"/>
    <n v="153672"/>
    <x v="1"/>
    <x v="2"/>
    <n v="463"/>
    <s v="Business"/>
    <s v="High Income"/>
  </r>
  <r>
    <n v="403"/>
    <s v="Brian Dunn"/>
    <s v="Female"/>
    <s v="Graduate"/>
    <n v="100579"/>
    <n v="238932"/>
    <x v="1"/>
    <x v="2"/>
    <n v="346"/>
    <s v="Salaried"/>
    <s v="High Income"/>
  </r>
  <r>
    <n v="404"/>
    <s v="Sherri Marsh"/>
    <s v="Male"/>
    <s v="Post Graduate"/>
    <n v="82644"/>
    <n v="135520"/>
    <x v="1"/>
    <x v="2"/>
    <n v="782"/>
    <s v="Self-Employed"/>
    <s v="High Income"/>
  </r>
  <r>
    <n v="405"/>
    <s v="Seth Jackson"/>
    <s v="Male"/>
    <s v="Post Graduate"/>
    <n v="52905"/>
    <n v="282046"/>
    <x v="0"/>
    <x v="2"/>
    <n v="797"/>
    <s v="Self-Employed"/>
    <s v="Medium Income"/>
  </r>
  <r>
    <n v="406"/>
    <s v="Mr. Joseph Pierce"/>
    <s v="Female"/>
    <s v="Post Graduate"/>
    <n v="40233"/>
    <n v="272537"/>
    <x v="1"/>
    <x v="3"/>
    <n v="349"/>
    <s v="Business"/>
    <s v="Low Income"/>
  </r>
  <r>
    <n v="407"/>
    <s v="Dana Rodriguez"/>
    <s v="Male"/>
    <s v="High School"/>
    <n v="51820"/>
    <n v="295892"/>
    <x v="1"/>
    <x v="0"/>
    <n v="710"/>
    <s v="Business"/>
    <s v="Medium Income"/>
  </r>
  <r>
    <n v="408"/>
    <s v="Andrew Wilson"/>
    <s v="Female"/>
    <s v="Post Graduate"/>
    <n v="109857"/>
    <n v="441670"/>
    <x v="1"/>
    <x v="1"/>
    <n v="529"/>
    <s v="Salaried"/>
    <s v="High Income"/>
  </r>
  <r>
    <n v="409"/>
    <s v="Jennifer Harris"/>
    <s v="Female"/>
    <s v="Graduate"/>
    <n v="85962"/>
    <n v="427802"/>
    <x v="0"/>
    <x v="0"/>
    <n v="872"/>
    <s v="Salaried"/>
    <s v="High Income"/>
  </r>
  <r>
    <n v="410"/>
    <s v="Rachael Williams"/>
    <s v="Male"/>
    <s v="High School"/>
    <n v="113977"/>
    <n v="233476"/>
    <x v="0"/>
    <x v="1"/>
    <n v="705"/>
    <s v="Self-Employed"/>
    <s v="High Income"/>
  </r>
  <r>
    <n v="411"/>
    <s v="Jason Ewing"/>
    <s v="Female"/>
    <s v="Post Graduate"/>
    <n v="110404"/>
    <n v="115921"/>
    <x v="1"/>
    <x v="2"/>
    <n v="746"/>
    <s v="Self-Employed"/>
    <s v="High Income"/>
  </r>
  <r>
    <n v="412"/>
    <s v="Denise Johnson"/>
    <s v="Male"/>
    <s v="High School"/>
    <n v="54017"/>
    <n v="360561"/>
    <x v="1"/>
    <x v="3"/>
    <n v="305"/>
    <s v="Self-Employed"/>
    <s v="Medium Income"/>
  </r>
  <r>
    <n v="413"/>
    <s v="Brent Pena"/>
    <s v="Male"/>
    <s v="Post Graduate"/>
    <n v="94153"/>
    <n v="325705"/>
    <x v="1"/>
    <x v="0"/>
    <n v="765"/>
    <s v="Self-Employed"/>
    <s v="High Income"/>
  </r>
  <r>
    <n v="414"/>
    <s v="David Dennis MD"/>
    <s v="Female"/>
    <s v="Graduate"/>
    <n v="116846"/>
    <n v="173547"/>
    <x v="1"/>
    <x v="0"/>
    <n v="586"/>
    <s v="Self-Employed"/>
    <s v="High Income"/>
  </r>
  <r>
    <n v="415"/>
    <s v="Patricia Price"/>
    <s v="Male"/>
    <s v="Post Graduate"/>
    <n v="47752"/>
    <n v="134216"/>
    <x v="0"/>
    <x v="2"/>
    <n v="302"/>
    <s v="Self-Employed"/>
    <s v="Low Income"/>
  </r>
  <r>
    <n v="416"/>
    <s v="Erika Hudson"/>
    <s v="Female"/>
    <s v="Graduate"/>
    <n v="63745"/>
    <n v="161814"/>
    <x v="0"/>
    <x v="1"/>
    <n v="868"/>
    <s v="Business"/>
    <s v="Medium Income"/>
  </r>
  <r>
    <n v="417"/>
    <s v="Mr. Reginald Ramirez"/>
    <s v="Male"/>
    <s v="High School"/>
    <n v="95238"/>
    <n v="186434"/>
    <x v="0"/>
    <x v="0"/>
    <n v="540"/>
    <s v="Business"/>
    <s v="High Income"/>
  </r>
  <r>
    <n v="418"/>
    <s v="Dr. Edward Dixon DVM"/>
    <s v="Female"/>
    <s v="High School"/>
    <n v="64180"/>
    <n v="169197"/>
    <x v="1"/>
    <x v="0"/>
    <n v="801"/>
    <s v="Self-Employed"/>
    <s v="Medium Income"/>
  </r>
  <r>
    <n v="419"/>
    <s v="Paula Brown"/>
    <s v="Female"/>
    <s v="Post Graduate"/>
    <n v="32329"/>
    <n v="457166"/>
    <x v="1"/>
    <x v="0"/>
    <n v="512"/>
    <s v="Business"/>
    <s v="Low Income"/>
  </r>
  <r>
    <n v="420"/>
    <s v="Gary Brown"/>
    <s v="Female"/>
    <s v="Graduate"/>
    <n v="58041"/>
    <n v="362990"/>
    <x v="1"/>
    <x v="3"/>
    <n v="519"/>
    <s v="Self-Employed"/>
    <s v="Medium Income"/>
  </r>
  <r>
    <n v="421"/>
    <s v="Megan Lee"/>
    <s v="Male"/>
    <s v="High School"/>
    <n v="104413"/>
    <n v="161532"/>
    <x v="1"/>
    <x v="1"/>
    <n v="379"/>
    <s v="Business"/>
    <s v="High Income"/>
  </r>
  <r>
    <n v="422"/>
    <s v="Fernando Hoover"/>
    <s v="Female"/>
    <s v="Graduate"/>
    <n v="56015"/>
    <n v="157019"/>
    <x v="0"/>
    <x v="1"/>
    <n v="729"/>
    <s v="Salaried"/>
    <s v="Medium Income"/>
  </r>
  <r>
    <n v="423"/>
    <s v="Timothy Strong"/>
    <s v="Male"/>
    <s v="Graduate"/>
    <n v="102409"/>
    <n v="42769"/>
    <x v="1"/>
    <x v="1"/>
    <n v="870"/>
    <s v="Business"/>
    <s v="High Income"/>
  </r>
  <r>
    <n v="424"/>
    <s v="Billy Long"/>
    <s v="Female"/>
    <s v="High School"/>
    <n v="88315"/>
    <n v="370362"/>
    <x v="0"/>
    <x v="1"/>
    <n v="876"/>
    <s v="Self-Employed"/>
    <s v="High Income"/>
  </r>
  <r>
    <n v="425"/>
    <s v="Crystal Johnson"/>
    <s v="Female"/>
    <s v="High School"/>
    <n v="29101"/>
    <n v="296790"/>
    <x v="1"/>
    <x v="3"/>
    <n v="475"/>
    <s v="Salaried"/>
    <s v="Low Income"/>
  </r>
  <r>
    <n v="426"/>
    <s v="Jason Bolton"/>
    <s v="Male"/>
    <s v="High School"/>
    <n v="75967"/>
    <n v="318048"/>
    <x v="1"/>
    <x v="3"/>
    <n v="467"/>
    <s v="Salaried"/>
    <s v="Medium Income"/>
  </r>
  <r>
    <n v="427"/>
    <s v="Matthew Taylor"/>
    <s v="Female"/>
    <s v="High School"/>
    <n v="43247"/>
    <n v="459621"/>
    <x v="0"/>
    <x v="1"/>
    <n v="589"/>
    <s v="Salaried"/>
    <s v="Low Income"/>
  </r>
  <r>
    <n v="428"/>
    <s v="Rebecca Roy"/>
    <s v="Male"/>
    <s v="High School"/>
    <n v="91652"/>
    <n v="273773"/>
    <x v="0"/>
    <x v="0"/>
    <n v="691"/>
    <s v="Self-Employed"/>
    <s v="High Income"/>
  </r>
  <r>
    <n v="429"/>
    <s v="Dr. Keith Martin"/>
    <s v="Male"/>
    <s v="High School"/>
    <n v="116443"/>
    <n v="389585"/>
    <x v="0"/>
    <x v="3"/>
    <n v="392"/>
    <s v="Business"/>
    <s v="High Income"/>
  </r>
  <r>
    <n v="430"/>
    <s v="Dr. Tamara Mills"/>
    <s v="Male"/>
    <s v="Post Graduate"/>
    <n v="25874"/>
    <n v="171916"/>
    <x v="0"/>
    <x v="0"/>
    <n v="513"/>
    <s v="Business"/>
    <s v="Low Income"/>
  </r>
  <r>
    <n v="431"/>
    <s v="Diamond Hill"/>
    <s v="Male"/>
    <s v="Graduate"/>
    <n v="98764"/>
    <n v="314613"/>
    <x v="0"/>
    <x v="2"/>
    <n v="352"/>
    <s v="Salaried"/>
    <s v="High Income"/>
  </r>
  <r>
    <n v="432"/>
    <s v="Andrea King"/>
    <s v="Male"/>
    <s v="Graduate"/>
    <n v="86017"/>
    <n v="455745"/>
    <x v="1"/>
    <x v="1"/>
    <n v="637"/>
    <s v="Business"/>
    <s v="High Income"/>
  </r>
  <r>
    <n v="433"/>
    <s v="Justin Gray"/>
    <s v="Male"/>
    <s v="Post Graduate"/>
    <n v="82283"/>
    <n v="320908"/>
    <x v="1"/>
    <x v="1"/>
    <n v="322"/>
    <s v="Salaried"/>
    <s v="High Income"/>
  </r>
  <r>
    <n v="434"/>
    <s v="Shannon Ross"/>
    <s v="Female"/>
    <s v="High School"/>
    <n v="59037"/>
    <n v="10220"/>
    <x v="0"/>
    <x v="1"/>
    <n v="540"/>
    <s v="Salaried"/>
    <s v="Medium Income"/>
  </r>
  <r>
    <n v="435"/>
    <s v="Kevin Ferrell"/>
    <s v="Male"/>
    <s v="High School"/>
    <n v="21626"/>
    <n v="447028"/>
    <x v="1"/>
    <x v="2"/>
    <n v="320"/>
    <s v="Business"/>
    <s v="Low Income"/>
  </r>
  <r>
    <n v="436"/>
    <s v="Caroline Shaw"/>
    <s v="Male"/>
    <s v="Graduate"/>
    <n v="39885"/>
    <n v="147155"/>
    <x v="0"/>
    <x v="0"/>
    <n v="345"/>
    <s v="Self-Employed"/>
    <s v="Low Income"/>
  </r>
  <r>
    <n v="437"/>
    <s v="Michael Miller"/>
    <s v="Female"/>
    <s v="Post Graduate"/>
    <n v="51010"/>
    <n v="497896"/>
    <x v="1"/>
    <x v="0"/>
    <n v="349"/>
    <s v="Self-Employed"/>
    <s v="Medium Income"/>
  </r>
  <r>
    <n v="438"/>
    <s v="John Monroe"/>
    <s v="Female"/>
    <s v="High School"/>
    <n v="84574"/>
    <n v="222804"/>
    <x v="1"/>
    <x v="3"/>
    <n v="574"/>
    <s v="Self-Employed"/>
    <s v="High Income"/>
  </r>
  <r>
    <n v="439"/>
    <s v="Laura Harris"/>
    <s v="Female"/>
    <s v="Graduate"/>
    <n v="62925"/>
    <n v="460672"/>
    <x v="1"/>
    <x v="3"/>
    <n v="473"/>
    <s v="Business"/>
    <s v="Medium Income"/>
  </r>
  <r>
    <n v="440"/>
    <s v="Scott Carpenter"/>
    <s v="Male"/>
    <s v="High School"/>
    <n v="20759"/>
    <n v="464295"/>
    <x v="1"/>
    <x v="1"/>
    <n v="305"/>
    <s v="Salaried"/>
    <s v="Low Income"/>
  </r>
  <r>
    <n v="441"/>
    <s v="Ms. Margaret Andrews"/>
    <s v="Male"/>
    <s v="Post Graduate"/>
    <n v="31223"/>
    <n v="184848"/>
    <x v="0"/>
    <x v="1"/>
    <n v="814"/>
    <s v="Business"/>
    <s v="Low Income"/>
  </r>
  <r>
    <n v="442"/>
    <s v="Lori Gonzalez"/>
    <s v="Male"/>
    <s v="Graduate"/>
    <n v="82496"/>
    <n v="467399"/>
    <x v="0"/>
    <x v="2"/>
    <n v="866"/>
    <s v="Self-Employed"/>
    <s v="High Income"/>
  </r>
  <r>
    <n v="443"/>
    <s v="Angela Walker"/>
    <s v="Female"/>
    <s v="High School"/>
    <n v="68720"/>
    <n v="265281"/>
    <x v="1"/>
    <x v="0"/>
    <n v="398"/>
    <s v="Salaried"/>
    <s v="Medium Income"/>
  </r>
  <r>
    <n v="444"/>
    <s v="Suzanne Coffey"/>
    <s v="Female"/>
    <s v="Graduate"/>
    <n v="24608"/>
    <n v="341624"/>
    <x v="1"/>
    <x v="2"/>
    <n v="363"/>
    <s v="Salaried"/>
    <s v="Low Income"/>
  </r>
  <r>
    <n v="445"/>
    <s v="Brent Thomas"/>
    <s v="Male"/>
    <s v="Post Graduate"/>
    <n v="109404"/>
    <n v="115283"/>
    <x v="0"/>
    <x v="2"/>
    <n v="484"/>
    <s v="Business"/>
    <s v="High Income"/>
  </r>
  <r>
    <n v="446"/>
    <s v="Cindy Scott DVM"/>
    <s v="Female"/>
    <s v="High School"/>
    <n v="77642"/>
    <n v="176332"/>
    <x v="1"/>
    <x v="0"/>
    <n v="683"/>
    <s v="Self-Employed"/>
    <s v="Medium Income"/>
  </r>
  <r>
    <n v="447"/>
    <s v="Jacob Vega"/>
    <s v="Female"/>
    <s v="Post Graduate"/>
    <n v="92556"/>
    <n v="50843"/>
    <x v="1"/>
    <x v="2"/>
    <n v="733"/>
    <s v="Business"/>
    <s v="High Income"/>
  </r>
  <r>
    <n v="448"/>
    <s v="Tony Sims"/>
    <s v="Male"/>
    <s v="Graduate"/>
    <n v="71936"/>
    <n v="30995"/>
    <x v="0"/>
    <x v="0"/>
    <n v="429"/>
    <s v="Self-Employed"/>
    <s v="Medium Income"/>
  </r>
  <r>
    <n v="449"/>
    <s v="Mitchell Simmons"/>
    <s v="Male"/>
    <s v="Graduate"/>
    <n v="86066"/>
    <n v="7882"/>
    <x v="0"/>
    <x v="0"/>
    <n v="847"/>
    <s v="Salaried"/>
    <s v="High Income"/>
  </r>
  <r>
    <n v="450"/>
    <s v="Joseph Spencer"/>
    <s v="Male"/>
    <s v="High School"/>
    <n v="67695"/>
    <n v="88758"/>
    <x v="0"/>
    <x v="1"/>
    <n v="412"/>
    <s v="Salaried"/>
    <s v="Medium Income"/>
  </r>
  <r>
    <n v="451"/>
    <s v="Daniel Shelton"/>
    <s v="Male"/>
    <s v="Graduate"/>
    <n v="90168"/>
    <n v="385299"/>
    <x v="1"/>
    <x v="1"/>
    <n v="432"/>
    <s v="Salaried"/>
    <s v="High Income"/>
  </r>
  <r>
    <n v="452"/>
    <s v="Jonathan Scott"/>
    <s v="Female"/>
    <s v="High School"/>
    <n v="74671"/>
    <n v="294173"/>
    <x v="1"/>
    <x v="2"/>
    <n v="859"/>
    <s v="Business"/>
    <s v="Medium Income"/>
  </r>
  <r>
    <n v="453"/>
    <s v="Douglas Hernandez PhD"/>
    <s v="Female"/>
    <s v="Graduate"/>
    <n v="75195"/>
    <n v="166350"/>
    <x v="1"/>
    <x v="2"/>
    <n v="660"/>
    <s v="Business"/>
    <s v="Medium Income"/>
  </r>
  <r>
    <n v="454"/>
    <s v="Jeremy Lee"/>
    <s v="Male"/>
    <s v="High School"/>
    <n v="42216"/>
    <n v="289463"/>
    <x v="0"/>
    <x v="1"/>
    <n v="710"/>
    <s v="Business"/>
    <s v="Low Income"/>
  </r>
  <r>
    <n v="455"/>
    <s v="Zachary Williams"/>
    <s v="Male"/>
    <s v="High School"/>
    <n v="119562"/>
    <n v="291086"/>
    <x v="0"/>
    <x v="3"/>
    <n v="372"/>
    <s v="Business"/>
    <s v="High Income"/>
  </r>
  <r>
    <n v="456"/>
    <s v="Terri Trujillo"/>
    <s v="Female"/>
    <s v="Post Graduate"/>
    <n v="90527"/>
    <n v="320570"/>
    <x v="1"/>
    <x v="2"/>
    <n v="431"/>
    <s v="Salaried"/>
    <s v="High Income"/>
  </r>
  <r>
    <n v="457"/>
    <s v="Christopher Hodges"/>
    <s v="Female"/>
    <s v="High School"/>
    <n v="76827"/>
    <n v="210506"/>
    <x v="0"/>
    <x v="1"/>
    <n v="625"/>
    <s v="Business"/>
    <s v="Medium Income"/>
  </r>
  <r>
    <n v="458"/>
    <s v="Nicole Richards MD"/>
    <s v="Male"/>
    <s v="Post Graduate"/>
    <n v="93294"/>
    <n v="372522"/>
    <x v="0"/>
    <x v="1"/>
    <n v="335"/>
    <s v="Self-Employed"/>
    <s v="High Income"/>
  </r>
  <r>
    <n v="459"/>
    <s v="Stacy Brown"/>
    <s v="Male"/>
    <s v="High School"/>
    <n v="48588"/>
    <n v="245475"/>
    <x v="0"/>
    <x v="3"/>
    <n v="516"/>
    <s v="Self-Employed"/>
    <s v="Low Income"/>
  </r>
  <r>
    <n v="460"/>
    <s v="Judy Hawkins"/>
    <s v="Male"/>
    <s v="High School"/>
    <n v="46989"/>
    <n v="166967"/>
    <x v="1"/>
    <x v="1"/>
    <n v="414"/>
    <s v="Self-Employed"/>
    <s v="Low Income"/>
  </r>
  <r>
    <n v="461"/>
    <s v="Antonio Kennedy"/>
    <s v="Male"/>
    <s v="High School"/>
    <n v="64075"/>
    <n v="452040"/>
    <x v="0"/>
    <x v="2"/>
    <n v="840"/>
    <s v="Salaried"/>
    <s v="Medium Income"/>
  </r>
  <r>
    <n v="462"/>
    <s v="Donald Williams"/>
    <s v="Male"/>
    <s v="Graduate"/>
    <n v="73930"/>
    <n v="21286"/>
    <x v="0"/>
    <x v="1"/>
    <n v="778"/>
    <s v="Salaried"/>
    <s v="Medium Income"/>
  </r>
  <r>
    <n v="463"/>
    <s v="Susan Taylor"/>
    <s v="Female"/>
    <s v="Post Graduate"/>
    <n v="60385"/>
    <n v="247626"/>
    <x v="1"/>
    <x v="1"/>
    <n v="743"/>
    <s v="Business"/>
    <s v="Medium Income"/>
  </r>
  <r>
    <n v="464"/>
    <s v="Alexandra Gonzalez"/>
    <s v="Male"/>
    <s v="Graduate"/>
    <n v="107128"/>
    <n v="22133"/>
    <x v="0"/>
    <x v="3"/>
    <n v="783"/>
    <s v="Business"/>
    <s v="High Income"/>
  </r>
  <r>
    <n v="465"/>
    <s v="Beth Suarez"/>
    <s v="Female"/>
    <s v="High School"/>
    <n v="61777"/>
    <n v="29512"/>
    <x v="0"/>
    <x v="0"/>
    <n v="750"/>
    <s v="Self-Employed"/>
    <s v="Medium Income"/>
  </r>
  <r>
    <n v="466"/>
    <s v="Beth Mcmillan"/>
    <s v="Female"/>
    <s v="High School"/>
    <n v="25072"/>
    <n v="91505"/>
    <x v="0"/>
    <x v="0"/>
    <n v="686"/>
    <s v="Salaried"/>
    <s v="Low Income"/>
  </r>
  <r>
    <n v="467"/>
    <s v="Michael Williams"/>
    <s v="Male"/>
    <s v="Graduate"/>
    <n v="62980"/>
    <n v="391395"/>
    <x v="1"/>
    <x v="1"/>
    <n v="325"/>
    <s v="Self-Employed"/>
    <s v="Medium Income"/>
  </r>
  <r>
    <n v="468"/>
    <s v="Amber Brown"/>
    <s v="Male"/>
    <s v="High School"/>
    <n v="75610"/>
    <n v="436055"/>
    <x v="1"/>
    <x v="2"/>
    <n v="610"/>
    <s v="Business"/>
    <s v="Medium Income"/>
  </r>
  <r>
    <n v="469"/>
    <s v="Toni Johnson"/>
    <s v="Male"/>
    <s v="Post Graduate"/>
    <n v="94437"/>
    <n v="459141"/>
    <x v="1"/>
    <x v="1"/>
    <n v="393"/>
    <s v="Self-Employed"/>
    <s v="High Income"/>
  </r>
  <r>
    <n v="470"/>
    <s v="William Bailey"/>
    <s v="Male"/>
    <s v="Graduate"/>
    <n v="108716"/>
    <n v="57258"/>
    <x v="1"/>
    <x v="3"/>
    <n v="670"/>
    <s v="Business"/>
    <s v="High Income"/>
  </r>
  <r>
    <n v="471"/>
    <s v="Mary Green"/>
    <s v="Female"/>
    <s v="Post Graduate"/>
    <n v="71368"/>
    <n v="130863"/>
    <x v="0"/>
    <x v="1"/>
    <n v="362"/>
    <s v="Self-Employed"/>
    <s v="Medium Income"/>
  </r>
  <r>
    <n v="472"/>
    <s v="Logan Rice"/>
    <s v="Male"/>
    <s v="Graduate"/>
    <n v="56863"/>
    <n v="228962"/>
    <x v="1"/>
    <x v="2"/>
    <n v="717"/>
    <s v="Salaried"/>
    <s v="Medium Income"/>
  </r>
  <r>
    <n v="473"/>
    <s v="Jennifer White"/>
    <s v="Male"/>
    <s v="High School"/>
    <n v="101668"/>
    <n v="189563"/>
    <x v="0"/>
    <x v="1"/>
    <n v="835"/>
    <s v="Salaried"/>
    <s v="High Income"/>
  </r>
  <r>
    <n v="474"/>
    <s v="Amanda James"/>
    <s v="Male"/>
    <s v="High School"/>
    <n v="48777"/>
    <n v="461536"/>
    <x v="0"/>
    <x v="1"/>
    <n v="472"/>
    <s v="Salaried"/>
    <s v="Low Income"/>
  </r>
  <r>
    <n v="475"/>
    <s v="John Hodge"/>
    <s v="Male"/>
    <s v="Post Graduate"/>
    <n v="23419"/>
    <n v="297979"/>
    <x v="0"/>
    <x v="1"/>
    <n v="711"/>
    <s v="Self-Employed"/>
    <s v="Low Income"/>
  </r>
  <r>
    <n v="476"/>
    <s v="Sandra Smith"/>
    <s v="Female"/>
    <s v="Post Graduate"/>
    <n v="100834"/>
    <n v="64559"/>
    <x v="1"/>
    <x v="2"/>
    <n v="372"/>
    <s v="Salaried"/>
    <s v="High Income"/>
  </r>
  <r>
    <n v="477"/>
    <s v="Barbara Gonzales"/>
    <s v="Male"/>
    <s v="High School"/>
    <n v="62419"/>
    <n v="490433"/>
    <x v="1"/>
    <x v="3"/>
    <n v="448"/>
    <s v="Self-Employed"/>
    <s v="Medium Income"/>
  </r>
  <r>
    <n v="478"/>
    <s v="Mrs. Laura Chandler MD"/>
    <s v="Female"/>
    <s v="High School"/>
    <n v="81097"/>
    <n v="346556"/>
    <x v="1"/>
    <x v="1"/>
    <n v="510"/>
    <s v="Business"/>
    <s v="High Income"/>
  </r>
  <r>
    <n v="479"/>
    <s v="David Reilly"/>
    <s v="Male"/>
    <s v="High School"/>
    <n v="22640"/>
    <n v="151523"/>
    <x v="0"/>
    <x v="1"/>
    <n v="830"/>
    <s v="Salaried"/>
    <s v="Low Income"/>
  </r>
  <r>
    <n v="480"/>
    <s v="Diane Gonzales"/>
    <s v="Male"/>
    <s v="High School"/>
    <n v="22575"/>
    <n v="223490"/>
    <x v="0"/>
    <x v="2"/>
    <n v="383"/>
    <s v="Self-Employed"/>
    <s v="Low Income"/>
  </r>
  <r>
    <n v="481"/>
    <s v="Leslie Hawkins"/>
    <s v="Female"/>
    <s v="Post Graduate"/>
    <n v="81098"/>
    <n v="49936"/>
    <x v="0"/>
    <x v="0"/>
    <n v="658"/>
    <s v="Salaried"/>
    <s v="High Income"/>
  </r>
  <r>
    <n v="482"/>
    <s v="Robert Huang"/>
    <s v="Female"/>
    <s v="High School"/>
    <n v="41518"/>
    <n v="33372"/>
    <x v="1"/>
    <x v="0"/>
    <n v="748"/>
    <s v="Salaried"/>
    <s v="Low Income"/>
  </r>
  <r>
    <n v="483"/>
    <s v="Angela Schwartz"/>
    <s v="Male"/>
    <s v="Graduate"/>
    <n v="29544"/>
    <n v="31459"/>
    <x v="1"/>
    <x v="0"/>
    <n v="845"/>
    <s v="Self-Employed"/>
    <s v="Low Income"/>
  </r>
  <r>
    <n v="484"/>
    <s v="Wendy Oneal"/>
    <s v="Female"/>
    <s v="Post Graduate"/>
    <n v="69334"/>
    <n v="11616"/>
    <x v="1"/>
    <x v="1"/>
    <n v="342"/>
    <s v="Salaried"/>
    <s v="Medium Income"/>
  </r>
  <r>
    <n v="485"/>
    <s v="Ashley Jimenez"/>
    <s v="Female"/>
    <s v="Post Graduate"/>
    <n v="102570"/>
    <n v="478667"/>
    <x v="0"/>
    <x v="2"/>
    <n v="420"/>
    <s v="Business"/>
    <s v="High Income"/>
  </r>
  <r>
    <n v="486"/>
    <s v="Julie Lester"/>
    <s v="Female"/>
    <s v="High School"/>
    <n v="63379"/>
    <n v="285779"/>
    <x v="1"/>
    <x v="0"/>
    <n v="740"/>
    <s v="Salaried"/>
    <s v="Medium Income"/>
  </r>
  <r>
    <n v="487"/>
    <s v="Mark Carpenter"/>
    <s v="Female"/>
    <s v="High School"/>
    <n v="102578"/>
    <n v="364442"/>
    <x v="1"/>
    <x v="3"/>
    <n v="710"/>
    <s v="Salaried"/>
    <s v="High Income"/>
  </r>
  <r>
    <n v="488"/>
    <s v="Todd Shannon"/>
    <s v="Male"/>
    <s v="Post Graduate"/>
    <n v="68522"/>
    <n v="362800"/>
    <x v="1"/>
    <x v="2"/>
    <n v="366"/>
    <s v="Salaried"/>
    <s v="Medium Income"/>
  </r>
  <r>
    <n v="489"/>
    <s v="Gary Vasquez"/>
    <s v="Male"/>
    <s v="High School"/>
    <n v="115761"/>
    <n v="436203"/>
    <x v="1"/>
    <x v="3"/>
    <n v="893"/>
    <s v="Business"/>
    <s v="High Income"/>
  </r>
  <r>
    <n v="490"/>
    <s v="Bruce Galvan"/>
    <s v="Female"/>
    <s v="High School"/>
    <n v="89149"/>
    <n v="61251"/>
    <x v="0"/>
    <x v="0"/>
    <n v="690"/>
    <s v="Self-Employed"/>
    <s v="High Income"/>
  </r>
  <r>
    <n v="491"/>
    <s v="Gerald Parks"/>
    <s v="Female"/>
    <s v="Post Graduate"/>
    <n v="34421"/>
    <n v="499413"/>
    <x v="1"/>
    <x v="1"/>
    <n v="814"/>
    <s v="Salaried"/>
    <s v="Low Income"/>
  </r>
  <r>
    <n v="492"/>
    <s v="Joan Cuevas"/>
    <s v="Male"/>
    <s v="High School"/>
    <n v="87225"/>
    <n v="297447"/>
    <x v="1"/>
    <x v="1"/>
    <n v="519"/>
    <s v="Salaried"/>
    <s v="High Income"/>
  </r>
  <r>
    <n v="493"/>
    <s v="Eric Gibson"/>
    <s v="Female"/>
    <s v="Graduate"/>
    <n v="85297"/>
    <n v="20454"/>
    <x v="1"/>
    <x v="0"/>
    <n v="789"/>
    <s v="Business"/>
    <s v="High Income"/>
  </r>
  <r>
    <n v="494"/>
    <s v="Carla Anderson"/>
    <s v="Female"/>
    <s v="Graduate"/>
    <n v="81164"/>
    <n v="457649"/>
    <x v="1"/>
    <x v="3"/>
    <n v="358"/>
    <s v="Business"/>
    <s v="High Income"/>
  </r>
  <r>
    <n v="495"/>
    <s v="Travis Phillips II"/>
    <s v="Male"/>
    <s v="High School"/>
    <n v="62727"/>
    <n v="8500"/>
    <x v="1"/>
    <x v="3"/>
    <n v="800"/>
    <s v="Salaried"/>
    <s v="Medium Income"/>
  </r>
  <r>
    <n v="496"/>
    <s v="Virginia Peterson"/>
    <s v="Female"/>
    <s v="Post Graduate"/>
    <n v="41137"/>
    <n v="251973"/>
    <x v="0"/>
    <x v="1"/>
    <n v="635"/>
    <s v="Self-Employed"/>
    <s v="Low Income"/>
  </r>
  <r>
    <n v="497"/>
    <s v="Tamara Barnett"/>
    <s v="Male"/>
    <s v="Post Graduate"/>
    <n v="52747"/>
    <n v="373830"/>
    <x v="0"/>
    <x v="2"/>
    <n v="879"/>
    <s v="Self-Employed"/>
    <s v="Medium Income"/>
  </r>
  <r>
    <n v="498"/>
    <s v="Juan Murphy"/>
    <s v="Male"/>
    <s v="Post Graduate"/>
    <n v="110180"/>
    <n v="279618"/>
    <x v="0"/>
    <x v="0"/>
    <n v="695"/>
    <s v="Salaried"/>
    <s v="High Income"/>
  </r>
  <r>
    <n v="499"/>
    <s v="Amanda Hill"/>
    <s v="Male"/>
    <s v="Post Graduate"/>
    <n v="77454"/>
    <n v="153938"/>
    <x v="1"/>
    <x v="0"/>
    <n v="491"/>
    <s v="Salaried"/>
    <s v="Medium Income"/>
  </r>
  <r>
    <n v="500"/>
    <s v="Sarah Griffith"/>
    <s v="Female"/>
    <s v="High School"/>
    <n v="77587"/>
    <n v="330953"/>
    <x v="0"/>
    <x v="0"/>
    <n v="601"/>
    <s v="Business"/>
    <s v="Medium Incom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70E80E-F4BB-4A0F-9F1A-EF6432F2572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11">
    <pivotField showAll="0"/>
    <pivotField showAll="0"/>
    <pivotField showAll="0"/>
    <pivotField showAll="0"/>
    <pivotField showAll="0"/>
    <pivotField dataField="1" showAll="0"/>
    <pivotField showAll="0"/>
    <pivotField axis="axisRow" showAll="0">
      <items count="5">
        <item x="2"/>
        <item x="1"/>
        <item x="0"/>
        <item x="3"/>
        <item t="default"/>
      </items>
    </pivotField>
    <pivotField showAll="0"/>
    <pivotField showAll="0"/>
    <pivotField showAll="0"/>
  </pivotFields>
  <rowFields count="1">
    <field x="7"/>
  </rowFields>
  <rowItems count="5">
    <i>
      <x/>
    </i>
    <i>
      <x v="1"/>
    </i>
    <i>
      <x v="2"/>
    </i>
    <i>
      <x v="3"/>
    </i>
    <i t="grand">
      <x/>
    </i>
  </rowItems>
  <colItems count="1">
    <i/>
  </colItems>
  <dataFields count="1">
    <dataField name="Sum of Loan_Amount" fld="5" baseField="0" baseItem="0"/>
  </dataFields>
  <formats count="6">
    <format dxfId="120">
      <pivotArea type="all" dataOnly="0" outline="0" fieldPosition="0"/>
    </format>
    <format dxfId="119">
      <pivotArea outline="0" collapsedLevelsAreSubtotals="1" fieldPosition="0"/>
    </format>
    <format dxfId="118">
      <pivotArea field="7" type="button" dataOnly="0" labelOnly="1" outline="0" axis="axisRow" fieldPosition="0"/>
    </format>
    <format dxfId="117">
      <pivotArea dataOnly="0" labelOnly="1" fieldPosition="0">
        <references count="1">
          <reference field="7" count="0"/>
        </references>
      </pivotArea>
    </format>
    <format dxfId="116">
      <pivotArea dataOnly="0" labelOnly="1" grandRow="1" outline="0" fieldPosition="0"/>
    </format>
    <format dxfId="115">
      <pivotArea dataOnly="0" labelOnly="1" outline="0" axis="axisValues" fieldPosition="0"/>
    </format>
  </format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77F305-57C2-412B-A693-32F2892D4F5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5:F10" firstHeaderRow="1" firstDataRow="1" firstDataCol="1"/>
  <pivotFields count="11">
    <pivotField showAll="0"/>
    <pivotField showAll="0"/>
    <pivotField showAll="0"/>
    <pivotField showAll="0"/>
    <pivotField showAll="0"/>
    <pivotField dataField="1" showAll="0"/>
    <pivotField showAll="0">
      <items count="3">
        <item x="0"/>
        <item x="1"/>
        <item t="default"/>
      </items>
    </pivotField>
    <pivotField axis="axisRow" showAll="0">
      <items count="5">
        <item x="2"/>
        <item x="1"/>
        <item x="0"/>
        <item x="3"/>
        <item t="default"/>
      </items>
    </pivotField>
    <pivotField showAll="0"/>
    <pivotField showAll="0"/>
    <pivotField showAll="0"/>
  </pivotFields>
  <rowFields count="1">
    <field x="7"/>
  </rowFields>
  <rowItems count="5">
    <i>
      <x/>
    </i>
    <i>
      <x v="1"/>
    </i>
    <i>
      <x v="2"/>
    </i>
    <i>
      <x v="3"/>
    </i>
    <i t="grand">
      <x/>
    </i>
  </rowItems>
  <colItems count="1">
    <i/>
  </colItems>
  <dataFields count="1">
    <dataField name="Sum of Loan_Amount" fld="5" baseField="0" baseItem="0"/>
  </dataFields>
  <formats count="15">
    <format dxfId="135">
      <pivotArea type="all" dataOnly="0" outline="0" fieldPosition="0"/>
    </format>
    <format dxfId="134">
      <pivotArea outline="0" collapsedLevelsAreSubtotals="1" fieldPosition="0"/>
    </format>
    <format dxfId="133">
      <pivotArea field="7" type="button" dataOnly="0" labelOnly="1" outline="0" axis="axisRow" fieldPosition="0"/>
    </format>
    <format dxfId="132">
      <pivotArea dataOnly="0" labelOnly="1" fieldPosition="0">
        <references count="1">
          <reference field="7" count="0"/>
        </references>
      </pivotArea>
    </format>
    <format dxfId="131">
      <pivotArea dataOnly="0" labelOnly="1" grandRow="1" outline="0" fieldPosition="0"/>
    </format>
    <format dxfId="130">
      <pivotArea dataOnly="0" labelOnly="1" outline="0" axis="axisValues" fieldPosition="0"/>
    </format>
    <format dxfId="129">
      <pivotArea type="all" dataOnly="0" outline="0" fieldPosition="0"/>
    </format>
    <format dxfId="128">
      <pivotArea outline="0" collapsedLevelsAreSubtotals="1" fieldPosition="0"/>
    </format>
    <format dxfId="127">
      <pivotArea field="7" type="button" dataOnly="0" labelOnly="1" outline="0" axis="axisRow" fieldPosition="0"/>
    </format>
    <format dxfId="126">
      <pivotArea dataOnly="0" labelOnly="1" fieldPosition="0">
        <references count="1">
          <reference field="7" count="0"/>
        </references>
      </pivotArea>
    </format>
    <format dxfId="125">
      <pivotArea dataOnly="0" labelOnly="1" grandRow="1" outline="0" fieldPosition="0"/>
    </format>
    <format dxfId="124">
      <pivotArea dataOnly="0" labelOnly="1" outline="0" axis="axisValues" fieldPosition="0"/>
    </format>
    <format dxfId="123">
      <pivotArea outline="0" collapsedLevelsAreSubtotals="1" fieldPosition="0"/>
    </format>
    <format dxfId="122">
      <pivotArea dataOnly="0" labelOnly="1" fieldPosition="0">
        <references count="1">
          <reference field="7" count="0"/>
        </references>
      </pivotArea>
    </format>
    <format dxfId="121">
      <pivotArea dataOnly="0" labelOnly="1" grandRow="1" outline="0" fieldPosition="0"/>
    </format>
  </formats>
  <chartFormats count="1">
    <chartFormat chart="21" format="0"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F5E63D05-A34D-45DB-B1C8-049F31D821F6}" sourceName="Loan_Status">
  <pivotTables>
    <pivotTable tabId="6" name="PivotTable3"/>
  </pivotTables>
  <data>
    <tabular pivotCacheId="51878121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5D04787-89EF-439A-A721-83BB687C800E}" sourceName="Region">
  <pivotTables>
    <pivotTable tabId="6" name="PivotTable3"/>
  </pivotTables>
  <data>
    <tabular pivotCacheId="518781214">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_Status" xr10:uid="{084D70B7-3A23-43C8-8A4F-4AD6F49B1FEA}" cache="Slicer_Loan_Status" caption="Loan_Status" rowHeight="241300"/>
  <slicer name="Region" xr10:uid="{393FC2EA-5FC0-41A2-9ED7-B97885EED935}"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8EE3D7-EE06-4663-AC52-2FFA18598858}" name="Table1" displayName="Table1" ref="A1:K501" totalsRowShown="0" headerRowDxfId="114" dataDxfId="112" headerRowBorderDxfId="113" tableBorderDxfId="111" totalsRowBorderDxfId="110">
  <autoFilter ref="A1:K501" xr:uid="{A48EE3D7-EE06-4663-AC52-2FFA18598858}"/>
  <tableColumns count="11">
    <tableColumn id="1" xr3:uid="{57022026-F686-4F82-97F1-5EEE42D651DF}" name="Customer_ID" dataDxfId="109"/>
    <tableColumn id="2" xr3:uid="{73A220D2-02D5-4A1E-970E-C45EB798D5B2}" name="Customer_Name" dataDxfId="108"/>
    <tableColumn id="3" xr3:uid="{5EF1C229-361F-4CA2-8395-621262B6DEB0}" name="Gender" dataDxfId="107"/>
    <tableColumn id="4" xr3:uid="{68BDF287-FD5A-4B85-A755-D5C8480987BA}" name="Education" dataDxfId="106"/>
    <tableColumn id="5" xr3:uid="{746B93B1-9EE4-47F3-B5F3-6CE49495DA84}" name="Income" dataDxfId="105"/>
    <tableColumn id="6" xr3:uid="{8E604B35-368C-414F-B0FC-ADCE111006EF}" name="Loan_Amount" dataDxfId="104"/>
    <tableColumn id="7" xr3:uid="{398FF3D1-55C8-43F1-838D-23B9B34A1C89}" name="Loan_Status" dataDxfId="103"/>
    <tableColumn id="8" xr3:uid="{AFB4B34F-8EBC-4B8E-9C39-0383B5F6ED9E}" name="Region" dataDxfId="102"/>
    <tableColumn id="9" xr3:uid="{95482334-1C69-412D-9C1B-7A1C596AE908}" name="Credit_Score" dataDxfId="101"/>
    <tableColumn id="10" xr3:uid="{441B060F-C5BE-4DC6-A0B4-94BEC8423DA2}" name="Employment_Type" dataDxfId="100"/>
    <tableColumn id="12" xr3:uid="{3DD82478-0776-4213-BC30-BDE08E716B04}" name="Manager Name" dataDxfId="99">
      <calculatedColumnFormula>_xlfn.XLOOKUP(H2,$M$2:$M$5,$N$2:$N$5)</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0F2110-8840-4BA3-A15D-E60638BFB746}" name="Table13" displayName="Table13" ref="A1:K501" totalsRowShown="0" headerRowDxfId="98" dataDxfId="96" headerRowBorderDxfId="97" tableBorderDxfId="95" totalsRowBorderDxfId="94">
  <autoFilter ref="A1:K501" xr:uid="{810F2110-8840-4BA3-A15D-E60638BFB746}"/>
  <tableColumns count="11">
    <tableColumn id="1" xr3:uid="{A355BCE4-C667-4565-8A62-AFA47C58C0AA}" name="Customer_ID" dataDxfId="93"/>
    <tableColumn id="2" xr3:uid="{925EB26A-4195-4FCD-ACB4-14F1D592F18D}" name="Customer_Name" dataDxfId="92"/>
    <tableColumn id="3" xr3:uid="{DF91E449-E1FD-4D27-A61D-21334C878733}" name="Gender" dataDxfId="91"/>
    <tableColumn id="4" xr3:uid="{E68AC32B-CD24-4933-8D77-EBB617A179E8}" name="Education" dataDxfId="90"/>
    <tableColumn id="5" xr3:uid="{6A7E0568-3842-4063-BB12-433F3B9BB82D}" name="Income" dataDxfId="89"/>
    <tableColumn id="6" xr3:uid="{C30E3CA0-FB18-43FC-B69F-99E6F41998E0}" name="Loan_Amount" dataDxfId="88"/>
    <tableColumn id="7" xr3:uid="{6F449707-6F6C-40A9-B7AF-8E270BD5B215}" name="Loan_Status" dataDxfId="87"/>
    <tableColumn id="8" xr3:uid="{5AE1D695-A739-4E04-9712-06F42D31A61D}" name="Region" dataDxfId="86"/>
    <tableColumn id="9" xr3:uid="{2773F61E-CD88-4850-A415-4D6E554C7B1B}" name="Credit_Score" dataDxfId="85"/>
    <tableColumn id="10" xr3:uid="{2443663F-084B-4CCC-8C10-E98ED54745BA}" name="Employment_Type" dataDxfId="84"/>
    <tableColumn id="12" xr3:uid="{805267FC-29FA-448C-85F4-D6E8545DA64B}" name="Income Category" dataDxfId="62">
      <calculatedColumnFormula>IF(AND(E2&gt;50000,G2="Approved"),"Eligible","Review")</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FC7945-BDBB-4ADF-A20A-BB7399B2C221}" name="Table14" displayName="Table14" ref="A1:K501" totalsRowShown="0" headerRowDxfId="83" dataDxfId="81" headerRowBorderDxfId="82" tableBorderDxfId="80" totalsRowBorderDxfId="79">
  <autoFilter ref="A1:K501" xr:uid="{BEFC7945-BDBB-4ADF-A20A-BB7399B2C221}"/>
  <tableColumns count="11">
    <tableColumn id="1" xr3:uid="{C920A6BA-4285-4E76-ABEE-66420FE6B8A8}" name="Customer_ID" dataDxfId="78"/>
    <tableColumn id="2" xr3:uid="{0FCFA87E-EA44-4775-B42D-D966B932942B}" name="Customer_Name" dataDxfId="77"/>
    <tableColumn id="3" xr3:uid="{DD773250-2770-421D-A6BF-765A6A0A8103}" name="Gender" dataDxfId="76"/>
    <tableColumn id="4" xr3:uid="{86126F57-3A4F-4526-A115-9FD373886D85}" name="Education" dataDxfId="75"/>
    <tableColumn id="5" xr3:uid="{A0F3E5D6-B913-4104-8C6A-4C2B2002D659}" name="Income" dataDxfId="74"/>
    <tableColumn id="6" xr3:uid="{86F47495-59D4-4D66-BC1B-688B1B45E18C}" name="Loan_Amount" dataDxfId="73"/>
    <tableColumn id="7" xr3:uid="{E23407DC-0E78-49C3-89FC-FEDF789370F0}" name="Loan_Status" dataDxfId="72"/>
    <tableColumn id="8" xr3:uid="{C5398F26-FC44-47A8-A474-D3E2C7CD1741}" name="Region" dataDxfId="71"/>
    <tableColumn id="9" xr3:uid="{11D26E2F-DC78-43EA-B410-EEBF731D41D2}" name="Credit_Score" dataDxfId="70"/>
    <tableColumn id="10" xr3:uid="{562D92FB-6DBB-4CDE-B4C1-7576D4F837C2}" name="Employment_Type" dataDxfId="69"/>
    <tableColumn id="12" xr3:uid="{CBAD2562-2638-4E0D-8750-72918AE05E2A}" name="Income Category" dataDxfId="40">
      <calculatedColumnFormula>IF(E2&gt;80000,"High Income",IF(E2&gt;=50000,"Medium Income","Low Income"))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A718A-A6D2-4E71-BFD1-8232898622EF}">
  <dimension ref="A3:B8"/>
  <sheetViews>
    <sheetView workbookViewId="0">
      <selection activeCell="J19" sqref="J19"/>
    </sheetView>
  </sheetViews>
  <sheetFormatPr defaultRowHeight="14.5" x14ac:dyDescent="0.35"/>
  <cols>
    <col min="1" max="1" width="12.36328125" bestFit="1" customWidth="1"/>
    <col min="2" max="2" width="19.08984375" bestFit="1" customWidth="1"/>
  </cols>
  <sheetData>
    <row r="3" spans="1:2" x14ac:dyDescent="0.35">
      <c r="A3" s="13" t="s">
        <v>524</v>
      </c>
      <c r="B3" s="14" t="s">
        <v>526</v>
      </c>
    </row>
    <row r="4" spans="1:2" x14ac:dyDescent="0.35">
      <c r="A4" s="15" t="s">
        <v>23</v>
      </c>
      <c r="B4" s="14">
        <v>33788798</v>
      </c>
    </row>
    <row r="5" spans="1:2" x14ac:dyDescent="0.35">
      <c r="A5" s="15" t="s">
        <v>19</v>
      </c>
      <c r="B5" s="14">
        <v>30510863</v>
      </c>
    </row>
    <row r="6" spans="1:2" x14ac:dyDescent="0.35">
      <c r="A6" s="15" t="s">
        <v>14</v>
      </c>
      <c r="B6" s="14">
        <v>30948919</v>
      </c>
    </row>
    <row r="7" spans="1:2" x14ac:dyDescent="0.35">
      <c r="A7" s="15" t="s">
        <v>26</v>
      </c>
      <c r="B7" s="14">
        <v>31946590</v>
      </c>
    </row>
    <row r="8" spans="1:2" x14ac:dyDescent="0.35">
      <c r="A8" s="15" t="s">
        <v>525</v>
      </c>
      <c r="B8" s="14">
        <v>127195170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08EE4-D5A9-4D4B-A2A9-70EA601E177D}">
  <dimension ref="A1:N501"/>
  <sheetViews>
    <sheetView topLeftCell="H1" workbookViewId="0">
      <selection activeCell="K3" sqref="K3"/>
    </sheetView>
  </sheetViews>
  <sheetFormatPr defaultColWidth="15.54296875" defaultRowHeight="14.5" x14ac:dyDescent="0.35"/>
  <cols>
    <col min="1" max="1" width="15.54296875" style="1"/>
    <col min="2" max="2" width="18" style="1" customWidth="1"/>
    <col min="3" max="9" width="15.54296875" style="1"/>
    <col min="10" max="10" width="18.453125" style="1" customWidth="1"/>
    <col min="11" max="11" width="18.26953125" style="1" customWidth="1"/>
    <col min="12" max="12" width="15.54296875" style="1"/>
    <col min="13" max="13" width="19.1796875" style="1" customWidth="1"/>
    <col min="14" max="14" width="17.81640625" style="1" customWidth="1"/>
    <col min="15" max="16384" width="15.54296875" style="1"/>
  </cols>
  <sheetData>
    <row r="1" spans="1:14" x14ac:dyDescent="0.35">
      <c r="A1" s="6" t="s">
        <v>0</v>
      </c>
      <c r="B1" s="7" t="s">
        <v>1</v>
      </c>
      <c r="C1" s="7" t="s">
        <v>2</v>
      </c>
      <c r="D1" s="7" t="s">
        <v>3</v>
      </c>
      <c r="E1" s="7" t="s">
        <v>4</v>
      </c>
      <c r="F1" s="7" t="s">
        <v>5</v>
      </c>
      <c r="G1" s="7" t="s">
        <v>6</v>
      </c>
      <c r="H1" s="7" t="s">
        <v>7</v>
      </c>
      <c r="I1" s="7" t="s">
        <v>8</v>
      </c>
      <c r="J1" s="8" t="s">
        <v>9</v>
      </c>
      <c r="K1" s="7" t="s">
        <v>527</v>
      </c>
      <c r="M1" s="2" t="s">
        <v>7</v>
      </c>
      <c r="N1" s="2" t="s">
        <v>527</v>
      </c>
    </row>
    <row r="2" spans="1:14" x14ac:dyDescent="0.35">
      <c r="A2" s="4">
        <v>1</v>
      </c>
      <c r="B2" s="3" t="s">
        <v>10</v>
      </c>
      <c r="C2" s="3" t="s">
        <v>11</v>
      </c>
      <c r="D2" s="3" t="s">
        <v>12</v>
      </c>
      <c r="E2" s="3">
        <v>88372</v>
      </c>
      <c r="F2" s="3">
        <v>330961</v>
      </c>
      <c r="G2" s="3" t="s">
        <v>13</v>
      </c>
      <c r="H2" s="3" t="s">
        <v>14</v>
      </c>
      <c r="I2" s="3">
        <v>744</v>
      </c>
      <c r="J2" s="5" t="s">
        <v>15</v>
      </c>
      <c r="K2" s="12" t="str">
        <f>_xlfn.XLOOKUP(H2,$M$2:$M$5,$N$2:$N$5)</f>
        <v>Mrs. Molly Jones MD</v>
      </c>
      <c r="M2" s="16" t="s">
        <v>23</v>
      </c>
      <c r="N2" s="16" t="s">
        <v>20</v>
      </c>
    </row>
    <row r="3" spans="1:14" x14ac:dyDescent="0.35">
      <c r="A3" s="4">
        <v>2</v>
      </c>
      <c r="B3" s="3" t="s">
        <v>16</v>
      </c>
      <c r="C3" s="3" t="s">
        <v>17</v>
      </c>
      <c r="D3" s="3" t="s">
        <v>18</v>
      </c>
      <c r="E3" s="3">
        <v>119257</v>
      </c>
      <c r="F3" s="3">
        <v>262727</v>
      </c>
      <c r="G3" s="3" t="s">
        <v>13</v>
      </c>
      <c r="H3" s="3" t="s">
        <v>19</v>
      </c>
      <c r="I3" s="3">
        <v>642</v>
      </c>
      <c r="J3" s="5" t="s">
        <v>15</v>
      </c>
      <c r="K3" s="3" t="str">
        <f t="shared" ref="K3:K65" si="0">_xlfn.XLOOKUP(H3,$M$2:$M$5,$N$2:$N$5)</f>
        <v>Dr. Luis Adams</v>
      </c>
      <c r="M3" s="16" t="s">
        <v>26</v>
      </c>
      <c r="N3" s="16" t="s">
        <v>25</v>
      </c>
    </row>
    <row r="4" spans="1:14" x14ac:dyDescent="0.35">
      <c r="A4" s="4">
        <v>3</v>
      </c>
      <c r="B4" s="3" t="s">
        <v>20</v>
      </c>
      <c r="C4" s="3" t="s">
        <v>17</v>
      </c>
      <c r="D4" s="3" t="s">
        <v>21</v>
      </c>
      <c r="E4" s="3">
        <v>81217</v>
      </c>
      <c r="F4" s="3">
        <v>472394</v>
      </c>
      <c r="G4" s="3" t="s">
        <v>22</v>
      </c>
      <c r="H4" s="3" t="s">
        <v>23</v>
      </c>
      <c r="I4" s="3">
        <v>482</v>
      </c>
      <c r="J4" s="5" t="s">
        <v>24</v>
      </c>
      <c r="K4" s="3" t="str">
        <f t="shared" si="0"/>
        <v>Patricia Nielsen</v>
      </c>
      <c r="M4" s="16" t="s">
        <v>19</v>
      </c>
      <c r="N4" s="16" t="s">
        <v>16</v>
      </c>
    </row>
    <row r="5" spans="1:14" x14ac:dyDescent="0.35">
      <c r="A5" s="4">
        <v>4</v>
      </c>
      <c r="B5" s="3" t="s">
        <v>25</v>
      </c>
      <c r="C5" s="3" t="s">
        <v>11</v>
      </c>
      <c r="D5" s="3" t="s">
        <v>12</v>
      </c>
      <c r="E5" s="3">
        <v>117486</v>
      </c>
      <c r="F5" s="3">
        <v>264501</v>
      </c>
      <c r="G5" s="3" t="s">
        <v>13</v>
      </c>
      <c r="H5" s="3" t="s">
        <v>26</v>
      </c>
      <c r="I5" s="3">
        <v>306</v>
      </c>
      <c r="J5" s="5" t="s">
        <v>15</v>
      </c>
      <c r="K5" s="3" t="str">
        <f t="shared" si="0"/>
        <v>Audrey Russell</v>
      </c>
      <c r="M5" s="16" t="s">
        <v>14</v>
      </c>
      <c r="N5" s="16" t="s">
        <v>10</v>
      </c>
    </row>
    <row r="6" spans="1:14" x14ac:dyDescent="0.35">
      <c r="A6" s="4">
        <v>5</v>
      </c>
      <c r="B6" s="3" t="s">
        <v>27</v>
      </c>
      <c r="C6" s="3" t="s">
        <v>11</v>
      </c>
      <c r="D6" s="3" t="s">
        <v>12</v>
      </c>
      <c r="E6" s="3">
        <v>97590</v>
      </c>
      <c r="F6" s="3">
        <v>70297</v>
      </c>
      <c r="G6" s="3" t="s">
        <v>22</v>
      </c>
      <c r="H6" s="3" t="s">
        <v>14</v>
      </c>
      <c r="I6" s="3">
        <v>515</v>
      </c>
      <c r="J6" s="5" t="s">
        <v>15</v>
      </c>
      <c r="K6" s="3" t="str">
        <f t="shared" si="0"/>
        <v>Mrs. Molly Jones MD</v>
      </c>
    </row>
    <row r="7" spans="1:14" x14ac:dyDescent="0.35">
      <c r="A7" s="4">
        <v>6</v>
      </c>
      <c r="B7" s="3" t="s">
        <v>28</v>
      </c>
      <c r="C7" s="3" t="s">
        <v>11</v>
      </c>
      <c r="D7" s="3" t="s">
        <v>18</v>
      </c>
      <c r="E7" s="3">
        <v>61361</v>
      </c>
      <c r="F7" s="3">
        <v>445854</v>
      </c>
      <c r="G7" s="3" t="s">
        <v>22</v>
      </c>
      <c r="H7" s="3" t="s">
        <v>19</v>
      </c>
      <c r="I7" s="3">
        <v>602</v>
      </c>
      <c r="J7" s="5" t="s">
        <v>15</v>
      </c>
      <c r="K7" s="3" t="str">
        <f t="shared" si="0"/>
        <v>Dr. Luis Adams</v>
      </c>
    </row>
    <row r="8" spans="1:14" x14ac:dyDescent="0.35">
      <c r="A8" s="4">
        <v>7</v>
      </c>
      <c r="B8" s="3" t="s">
        <v>29</v>
      </c>
      <c r="C8" s="3" t="s">
        <v>11</v>
      </c>
      <c r="D8" s="3" t="s">
        <v>18</v>
      </c>
      <c r="E8" s="3">
        <v>96742</v>
      </c>
      <c r="F8" s="3">
        <v>468230</v>
      </c>
      <c r="G8" s="3" t="s">
        <v>22</v>
      </c>
      <c r="H8" s="3" t="s">
        <v>26</v>
      </c>
      <c r="I8" s="3">
        <v>458</v>
      </c>
      <c r="J8" s="5" t="s">
        <v>15</v>
      </c>
      <c r="K8" s="3" t="str">
        <f t="shared" si="0"/>
        <v>Audrey Russell</v>
      </c>
    </row>
    <row r="9" spans="1:14" x14ac:dyDescent="0.35">
      <c r="A9" s="4">
        <v>8</v>
      </c>
      <c r="B9" s="3" t="s">
        <v>30</v>
      </c>
      <c r="C9" s="3" t="s">
        <v>17</v>
      </c>
      <c r="D9" s="3" t="s">
        <v>21</v>
      </c>
      <c r="E9" s="3">
        <v>63391</v>
      </c>
      <c r="F9" s="3">
        <v>178896</v>
      </c>
      <c r="G9" s="3" t="s">
        <v>13</v>
      </c>
      <c r="H9" s="3" t="s">
        <v>19</v>
      </c>
      <c r="I9" s="3">
        <v>444</v>
      </c>
      <c r="J9" s="5" t="s">
        <v>15</v>
      </c>
      <c r="K9" s="3" t="str">
        <f t="shared" si="0"/>
        <v>Dr. Luis Adams</v>
      </c>
    </row>
    <row r="10" spans="1:14" x14ac:dyDescent="0.35">
      <c r="A10" s="4">
        <v>9</v>
      </c>
      <c r="B10" s="3" t="s">
        <v>31</v>
      </c>
      <c r="C10" s="3" t="s">
        <v>17</v>
      </c>
      <c r="D10" s="3" t="s">
        <v>12</v>
      </c>
      <c r="E10" s="3">
        <v>47429</v>
      </c>
      <c r="F10" s="3">
        <v>86835</v>
      </c>
      <c r="G10" s="3" t="s">
        <v>13</v>
      </c>
      <c r="H10" s="3" t="s">
        <v>23</v>
      </c>
      <c r="I10" s="3">
        <v>859</v>
      </c>
      <c r="J10" s="5" t="s">
        <v>32</v>
      </c>
      <c r="K10" s="3" t="str">
        <f t="shared" si="0"/>
        <v>Patricia Nielsen</v>
      </c>
    </row>
    <row r="11" spans="1:14" x14ac:dyDescent="0.35">
      <c r="A11" s="4">
        <v>10</v>
      </c>
      <c r="B11" s="3" t="s">
        <v>33</v>
      </c>
      <c r="C11" s="3" t="s">
        <v>11</v>
      </c>
      <c r="D11" s="3" t="s">
        <v>21</v>
      </c>
      <c r="E11" s="3">
        <v>44420</v>
      </c>
      <c r="F11" s="3">
        <v>167749</v>
      </c>
      <c r="G11" s="3" t="s">
        <v>22</v>
      </c>
      <c r="H11" s="3" t="s">
        <v>23</v>
      </c>
      <c r="I11" s="3">
        <v>450</v>
      </c>
      <c r="J11" s="5" t="s">
        <v>32</v>
      </c>
      <c r="K11" s="3" t="str">
        <f t="shared" si="0"/>
        <v>Patricia Nielsen</v>
      </c>
    </row>
    <row r="12" spans="1:14" x14ac:dyDescent="0.35">
      <c r="A12" s="4">
        <v>11</v>
      </c>
      <c r="B12" s="3" t="s">
        <v>34</v>
      </c>
      <c r="C12" s="3" t="s">
        <v>11</v>
      </c>
      <c r="D12" s="3" t="s">
        <v>18</v>
      </c>
      <c r="E12" s="3">
        <v>66843</v>
      </c>
      <c r="F12" s="3">
        <v>204617</v>
      </c>
      <c r="G12" s="3" t="s">
        <v>13</v>
      </c>
      <c r="H12" s="3" t="s">
        <v>14</v>
      </c>
      <c r="I12" s="3">
        <v>552</v>
      </c>
      <c r="J12" s="5" t="s">
        <v>24</v>
      </c>
      <c r="K12" s="3" t="str">
        <f t="shared" si="0"/>
        <v>Mrs. Molly Jones MD</v>
      </c>
    </row>
    <row r="13" spans="1:14" x14ac:dyDescent="0.35">
      <c r="A13" s="4">
        <v>12</v>
      </c>
      <c r="B13" s="3" t="s">
        <v>35</v>
      </c>
      <c r="C13" s="3" t="s">
        <v>11</v>
      </c>
      <c r="D13" s="3" t="s">
        <v>18</v>
      </c>
      <c r="E13" s="3">
        <v>93528</v>
      </c>
      <c r="F13" s="3">
        <v>317139</v>
      </c>
      <c r="G13" s="3" t="s">
        <v>13</v>
      </c>
      <c r="H13" s="3" t="s">
        <v>26</v>
      </c>
      <c r="I13" s="3">
        <v>818</v>
      </c>
      <c r="J13" s="5" t="s">
        <v>32</v>
      </c>
      <c r="K13" s="3" t="str">
        <f t="shared" si="0"/>
        <v>Audrey Russell</v>
      </c>
    </row>
    <row r="14" spans="1:14" x14ac:dyDescent="0.35">
      <c r="A14" s="4">
        <v>13</v>
      </c>
      <c r="B14" s="3" t="s">
        <v>36</v>
      </c>
      <c r="C14" s="3" t="s">
        <v>17</v>
      </c>
      <c r="D14" s="3" t="s">
        <v>18</v>
      </c>
      <c r="E14" s="3">
        <v>42867</v>
      </c>
      <c r="F14" s="3">
        <v>197688</v>
      </c>
      <c r="G14" s="3" t="s">
        <v>22</v>
      </c>
      <c r="H14" s="3" t="s">
        <v>14</v>
      </c>
      <c r="I14" s="3">
        <v>768</v>
      </c>
      <c r="J14" s="5" t="s">
        <v>15</v>
      </c>
      <c r="K14" s="3" t="str">
        <f t="shared" si="0"/>
        <v>Mrs. Molly Jones MD</v>
      </c>
    </row>
    <row r="15" spans="1:14" x14ac:dyDescent="0.35">
      <c r="A15" s="4">
        <v>14</v>
      </c>
      <c r="B15" s="3" t="s">
        <v>37</v>
      </c>
      <c r="C15" s="3" t="s">
        <v>11</v>
      </c>
      <c r="D15" s="3" t="s">
        <v>12</v>
      </c>
      <c r="E15" s="3">
        <v>49709</v>
      </c>
      <c r="F15" s="3">
        <v>198807</v>
      </c>
      <c r="G15" s="3" t="s">
        <v>22</v>
      </c>
      <c r="H15" s="3" t="s">
        <v>14</v>
      </c>
      <c r="I15" s="3">
        <v>651</v>
      </c>
      <c r="J15" s="5" t="s">
        <v>15</v>
      </c>
      <c r="K15" s="3" t="str">
        <f t="shared" si="0"/>
        <v>Mrs. Molly Jones MD</v>
      </c>
    </row>
    <row r="16" spans="1:14" x14ac:dyDescent="0.35">
      <c r="A16" s="4">
        <v>15</v>
      </c>
      <c r="B16" s="3" t="s">
        <v>38</v>
      </c>
      <c r="C16" s="3" t="s">
        <v>11</v>
      </c>
      <c r="D16" s="3" t="s">
        <v>12</v>
      </c>
      <c r="E16" s="3">
        <v>106712</v>
      </c>
      <c r="F16" s="3">
        <v>43457</v>
      </c>
      <c r="G16" s="3" t="s">
        <v>22</v>
      </c>
      <c r="H16" s="3" t="s">
        <v>19</v>
      </c>
      <c r="I16" s="3">
        <v>640</v>
      </c>
      <c r="J16" s="5" t="s">
        <v>24</v>
      </c>
      <c r="K16" s="3" t="str">
        <f t="shared" si="0"/>
        <v>Dr. Luis Adams</v>
      </c>
    </row>
    <row r="17" spans="1:11" x14ac:dyDescent="0.35">
      <c r="A17" s="4">
        <v>16</v>
      </c>
      <c r="B17" s="3" t="s">
        <v>39</v>
      </c>
      <c r="C17" s="3" t="s">
        <v>17</v>
      </c>
      <c r="D17" s="3" t="s">
        <v>12</v>
      </c>
      <c r="E17" s="3">
        <v>76673</v>
      </c>
      <c r="F17" s="3">
        <v>303281</v>
      </c>
      <c r="G17" s="3" t="s">
        <v>13</v>
      </c>
      <c r="H17" s="3" t="s">
        <v>14</v>
      </c>
      <c r="I17" s="3">
        <v>473</v>
      </c>
      <c r="J17" s="5" t="s">
        <v>24</v>
      </c>
      <c r="K17" s="3" t="str">
        <f t="shared" si="0"/>
        <v>Mrs. Molly Jones MD</v>
      </c>
    </row>
    <row r="18" spans="1:11" x14ac:dyDescent="0.35">
      <c r="A18" s="4">
        <v>17</v>
      </c>
      <c r="B18" s="3" t="s">
        <v>40</v>
      </c>
      <c r="C18" s="3" t="s">
        <v>11</v>
      </c>
      <c r="D18" s="3" t="s">
        <v>12</v>
      </c>
      <c r="E18" s="3">
        <v>110192</v>
      </c>
      <c r="F18" s="3">
        <v>471520</v>
      </c>
      <c r="G18" s="3" t="s">
        <v>22</v>
      </c>
      <c r="H18" s="3" t="s">
        <v>23</v>
      </c>
      <c r="I18" s="3">
        <v>709</v>
      </c>
      <c r="J18" s="5" t="s">
        <v>32</v>
      </c>
      <c r="K18" s="3" t="str">
        <f t="shared" si="0"/>
        <v>Patricia Nielsen</v>
      </c>
    </row>
    <row r="19" spans="1:11" x14ac:dyDescent="0.35">
      <c r="A19" s="4">
        <v>18</v>
      </c>
      <c r="B19" s="3" t="s">
        <v>41</v>
      </c>
      <c r="C19" s="3" t="s">
        <v>11</v>
      </c>
      <c r="D19" s="3" t="s">
        <v>21</v>
      </c>
      <c r="E19" s="3">
        <v>45357</v>
      </c>
      <c r="F19" s="3">
        <v>274600</v>
      </c>
      <c r="G19" s="3" t="s">
        <v>22</v>
      </c>
      <c r="H19" s="3" t="s">
        <v>26</v>
      </c>
      <c r="I19" s="3">
        <v>740</v>
      </c>
      <c r="J19" s="5" t="s">
        <v>24</v>
      </c>
      <c r="K19" s="3" t="str">
        <f t="shared" si="0"/>
        <v>Audrey Russell</v>
      </c>
    </row>
    <row r="20" spans="1:11" x14ac:dyDescent="0.35">
      <c r="A20" s="4">
        <v>19</v>
      </c>
      <c r="B20" s="3" t="s">
        <v>42</v>
      </c>
      <c r="C20" s="3" t="s">
        <v>17</v>
      </c>
      <c r="D20" s="3" t="s">
        <v>18</v>
      </c>
      <c r="E20" s="3">
        <v>47249</v>
      </c>
      <c r="F20" s="3">
        <v>439148</v>
      </c>
      <c r="G20" s="3" t="s">
        <v>13</v>
      </c>
      <c r="H20" s="3" t="s">
        <v>26</v>
      </c>
      <c r="I20" s="3">
        <v>463</v>
      </c>
      <c r="J20" s="5" t="s">
        <v>24</v>
      </c>
      <c r="K20" s="3" t="str">
        <f t="shared" si="0"/>
        <v>Audrey Russell</v>
      </c>
    </row>
    <row r="21" spans="1:11" x14ac:dyDescent="0.35">
      <c r="A21" s="4">
        <v>20</v>
      </c>
      <c r="B21" s="3" t="s">
        <v>43</v>
      </c>
      <c r="C21" s="3" t="s">
        <v>17</v>
      </c>
      <c r="D21" s="3" t="s">
        <v>18</v>
      </c>
      <c r="E21" s="3">
        <v>21385</v>
      </c>
      <c r="F21" s="3">
        <v>131933</v>
      </c>
      <c r="G21" s="3" t="s">
        <v>22</v>
      </c>
      <c r="H21" s="3" t="s">
        <v>19</v>
      </c>
      <c r="I21" s="3">
        <v>438</v>
      </c>
      <c r="J21" s="5" t="s">
        <v>24</v>
      </c>
      <c r="K21" s="3" t="str">
        <f t="shared" si="0"/>
        <v>Dr. Luis Adams</v>
      </c>
    </row>
    <row r="22" spans="1:11" x14ac:dyDescent="0.35">
      <c r="A22" s="4">
        <v>21</v>
      </c>
      <c r="B22" s="3" t="s">
        <v>44</v>
      </c>
      <c r="C22" s="3" t="s">
        <v>17</v>
      </c>
      <c r="D22" s="3" t="s">
        <v>12</v>
      </c>
      <c r="E22" s="3">
        <v>101753</v>
      </c>
      <c r="F22" s="3">
        <v>239191</v>
      </c>
      <c r="G22" s="3" t="s">
        <v>22</v>
      </c>
      <c r="H22" s="3" t="s">
        <v>26</v>
      </c>
      <c r="I22" s="3">
        <v>802</v>
      </c>
      <c r="J22" s="5" t="s">
        <v>15</v>
      </c>
      <c r="K22" s="3" t="str">
        <f t="shared" si="0"/>
        <v>Audrey Russell</v>
      </c>
    </row>
    <row r="23" spans="1:11" x14ac:dyDescent="0.35">
      <c r="A23" s="4">
        <v>22</v>
      </c>
      <c r="B23" s="3" t="s">
        <v>45</v>
      </c>
      <c r="C23" s="3" t="s">
        <v>11</v>
      </c>
      <c r="D23" s="3" t="s">
        <v>21</v>
      </c>
      <c r="E23" s="3">
        <v>105371</v>
      </c>
      <c r="F23" s="3">
        <v>162207</v>
      </c>
      <c r="G23" s="3" t="s">
        <v>13</v>
      </c>
      <c r="H23" s="3" t="s">
        <v>26</v>
      </c>
      <c r="I23" s="3">
        <v>543</v>
      </c>
      <c r="J23" s="5" t="s">
        <v>32</v>
      </c>
      <c r="K23" s="3" t="str">
        <f t="shared" si="0"/>
        <v>Audrey Russell</v>
      </c>
    </row>
    <row r="24" spans="1:11" x14ac:dyDescent="0.35">
      <c r="A24" s="4">
        <v>23</v>
      </c>
      <c r="B24" s="3" t="s">
        <v>46</v>
      </c>
      <c r="C24" s="3" t="s">
        <v>11</v>
      </c>
      <c r="D24" s="3" t="s">
        <v>12</v>
      </c>
      <c r="E24" s="3">
        <v>69527</v>
      </c>
      <c r="F24" s="3">
        <v>110559</v>
      </c>
      <c r="G24" s="3" t="s">
        <v>22</v>
      </c>
      <c r="H24" s="3" t="s">
        <v>14</v>
      </c>
      <c r="I24" s="3">
        <v>611</v>
      </c>
      <c r="J24" s="5" t="s">
        <v>15</v>
      </c>
      <c r="K24" s="3" t="str">
        <f t="shared" si="0"/>
        <v>Mrs. Molly Jones MD</v>
      </c>
    </row>
    <row r="25" spans="1:11" x14ac:dyDescent="0.35">
      <c r="A25" s="4">
        <v>24</v>
      </c>
      <c r="B25" s="3" t="s">
        <v>47</v>
      </c>
      <c r="C25" s="3" t="s">
        <v>17</v>
      </c>
      <c r="D25" s="3" t="s">
        <v>12</v>
      </c>
      <c r="E25" s="3">
        <v>48267</v>
      </c>
      <c r="F25" s="3">
        <v>233342</v>
      </c>
      <c r="G25" s="3" t="s">
        <v>22</v>
      </c>
      <c r="H25" s="3" t="s">
        <v>23</v>
      </c>
      <c r="I25" s="3">
        <v>836</v>
      </c>
      <c r="J25" s="5" t="s">
        <v>32</v>
      </c>
      <c r="K25" s="3" t="str">
        <f t="shared" si="0"/>
        <v>Patricia Nielsen</v>
      </c>
    </row>
    <row r="26" spans="1:11" x14ac:dyDescent="0.35">
      <c r="A26" s="4">
        <v>25</v>
      </c>
      <c r="B26" s="3" t="s">
        <v>48</v>
      </c>
      <c r="C26" s="3" t="s">
        <v>17</v>
      </c>
      <c r="D26" s="3" t="s">
        <v>12</v>
      </c>
      <c r="E26" s="3">
        <v>79848</v>
      </c>
      <c r="F26" s="3">
        <v>245354</v>
      </c>
      <c r="G26" s="3" t="s">
        <v>13</v>
      </c>
      <c r="H26" s="3" t="s">
        <v>14</v>
      </c>
      <c r="I26" s="3">
        <v>435</v>
      </c>
      <c r="J26" s="5" t="s">
        <v>32</v>
      </c>
      <c r="K26" s="3" t="str">
        <f t="shared" si="0"/>
        <v>Mrs. Molly Jones MD</v>
      </c>
    </row>
    <row r="27" spans="1:11" x14ac:dyDescent="0.35">
      <c r="A27" s="4">
        <v>26</v>
      </c>
      <c r="B27" s="3" t="s">
        <v>49</v>
      </c>
      <c r="C27" s="3" t="s">
        <v>17</v>
      </c>
      <c r="D27" s="3" t="s">
        <v>12</v>
      </c>
      <c r="E27" s="3">
        <v>60201</v>
      </c>
      <c r="F27" s="3">
        <v>262823</v>
      </c>
      <c r="G27" s="3" t="s">
        <v>22</v>
      </c>
      <c r="H27" s="3" t="s">
        <v>26</v>
      </c>
      <c r="I27" s="3">
        <v>716</v>
      </c>
      <c r="J27" s="5" t="s">
        <v>32</v>
      </c>
      <c r="K27" s="3" t="str">
        <f t="shared" si="0"/>
        <v>Audrey Russell</v>
      </c>
    </row>
    <row r="28" spans="1:11" x14ac:dyDescent="0.35">
      <c r="A28" s="4">
        <v>27</v>
      </c>
      <c r="B28" s="3" t="s">
        <v>50</v>
      </c>
      <c r="C28" s="3" t="s">
        <v>11</v>
      </c>
      <c r="D28" s="3" t="s">
        <v>21</v>
      </c>
      <c r="E28" s="3">
        <v>33503</v>
      </c>
      <c r="F28" s="3">
        <v>333755</v>
      </c>
      <c r="G28" s="3" t="s">
        <v>22</v>
      </c>
      <c r="H28" s="3" t="s">
        <v>14</v>
      </c>
      <c r="I28" s="3">
        <v>301</v>
      </c>
      <c r="J28" s="5" t="s">
        <v>24</v>
      </c>
      <c r="K28" s="3" t="str">
        <f t="shared" si="0"/>
        <v>Mrs. Molly Jones MD</v>
      </c>
    </row>
    <row r="29" spans="1:11" x14ac:dyDescent="0.35">
      <c r="A29" s="4">
        <v>28</v>
      </c>
      <c r="B29" s="3" t="s">
        <v>51</v>
      </c>
      <c r="C29" s="3" t="s">
        <v>11</v>
      </c>
      <c r="D29" s="3" t="s">
        <v>18</v>
      </c>
      <c r="E29" s="3">
        <v>104701</v>
      </c>
      <c r="F29" s="3">
        <v>473056</v>
      </c>
      <c r="G29" s="3" t="s">
        <v>22</v>
      </c>
      <c r="H29" s="3" t="s">
        <v>26</v>
      </c>
      <c r="I29" s="3">
        <v>437</v>
      </c>
      <c r="J29" s="5" t="s">
        <v>32</v>
      </c>
      <c r="K29" s="3" t="str">
        <f t="shared" si="0"/>
        <v>Audrey Russell</v>
      </c>
    </row>
    <row r="30" spans="1:11" x14ac:dyDescent="0.35">
      <c r="A30" s="4">
        <v>29</v>
      </c>
      <c r="B30" s="3" t="s">
        <v>52</v>
      </c>
      <c r="C30" s="3" t="s">
        <v>17</v>
      </c>
      <c r="D30" s="3" t="s">
        <v>12</v>
      </c>
      <c r="E30" s="3">
        <v>32615</v>
      </c>
      <c r="F30" s="3">
        <v>11667</v>
      </c>
      <c r="G30" s="3" t="s">
        <v>13</v>
      </c>
      <c r="H30" s="3" t="s">
        <v>26</v>
      </c>
      <c r="I30" s="3">
        <v>361</v>
      </c>
      <c r="J30" s="5" t="s">
        <v>32</v>
      </c>
      <c r="K30" s="3" t="str">
        <f t="shared" si="0"/>
        <v>Audrey Russell</v>
      </c>
    </row>
    <row r="31" spans="1:11" x14ac:dyDescent="0.35">
      <c r="A31" s="4">
        <v>30</v>
      </c>
      <c r="B31" s="3" t="s">
        <v>53</v>
      </c>
      <c r="C31" s="3" t="s">
        <v>11</v>
      </c>
      <c r="D31" s="3" t="s">
        <v>21</v>
      </c>
      <c r="E31" s="3">
        <v>76888</v>
      </c>
      <c r="F31" s="3">
        <v>197307</v>
      </c>
      <c r="G31" s="3" t="s">
        <v>22</v>
      </c>
      <c r="H31" s="3" t="s">
        <v>26</v>
      </c>
      <c r="I31" s="3">
        <v>658</v>
      </c>
      <c r="J31" s="5" t="s">
        <v>24</v>
      </c>
      <c r="K31" s="3" t="str">
        <f t="shared" si="0"/>
        <v>Audrey Russell</v>
      </c>
    </row>
    <row r="32" spans="1:11" x14ac:dyDescent="0.35">
      <c r="A32" s="4">
        <v>31</v>
      </c>
      <c r="B32" s="3" t="s">
        <v>54</v>
      </c>
      <c r="C32" s="3" t="s">
        <v>17</v>
      </c>
      <c r="D32" s="3" t="s">
        <v>21</v>
      </c>
      <c r="E32" s="3">
        <v>76796</v>
      </c>
      <c r="F32" s="3">
        <v>137508</v>
      </c>
      <c r="G32" s="3" t="s">
        <v>13</v>
      </c>
      <c r="H32" s="3" t="s">
        <v>14</v>
      </c>
      <c r="I32" s="3">
        <v>846</v>
      </c>
      <c r="J32" s="5" t="s">
        <v>24</v>
      </c>
      <c r="K32" s="3" t="str">
        <f t="shared" si="0"/>
        <v>Mrs. Molly Jones MD</v>
      </c>
    </row>
    <row r="33" spans="1:11" x14ac:dyDescent="0.35">
      <c r="A33" s="4">
        <v>32</v>
      </c>
      <c r="B33" s="3" t="s">
        <v>55</v>
      </c>
      <c r="C33" s="3" t="s">
        <v>17</v>
      </c>
      <c r="D33" s="3" t="s">
        <v>12</v>
      </c>
      <c r="E33" s="3">
        <v>114070</v>
      </c>
      <c r="F33" s="3">
        <v>131899</v>
      </c>
      <c r="G33" s="3" t="s">
        <v>22</v>
      </c>
      <c r="H33" s="3" t="s">
        <v>23</v>
      </c>
      <c r="I33" s="3">
        <v>582</v>
      </c>
      <c r="J33" s="5" t="s">
        <v>15</v>
      </c>
      <c r="K33" s="3" t="str">
        <f t="shared" si="0"/>
        <v>Patricia Nielsen</v>
      </c>
    </row>
    <row r="34" spans="1:11" x14ac:dyDescent="0.35">
      <c r="A34" s="4">
        <v>33</v>
      </c>
      <c r="B34" s="3" t="s">
        <v>56</v>
      </c>
      <c r="C34" s="3" t="s">
        <v>17</v>
      </c>
      <c r="D34" s="3" t="s">
        <v>18</v>
      </c>
      <c r="E34" s="3">
        <v>94910</v>
      </c>
      <c r="F34" s="3">
        <v>477946</v>
      </c>
      <c r="G34" s="3" t="s">
        <v>13</v>
      </c>
      <c r="H34" s="3" t="s">
        <v>26</v>
      </c>
      <c r="I34" s="3">
        <v>586</v>
      </c>
      <c r="J34" s="5" t="s">
        <v>32</v>
      </c>
      <c r="K34" s="3" t="str">
        <f t="shared" si="0"/>
        <v>Audrey Russell</v>
      </c>
    </row>
    <row r="35" spans="1:11" x14ac:dyDescent="0.35">
      <c r="A35" s="4">
        <v>34</v>
      </c>
      <c r="B35" s="3" t="s">
        <v>57</v>
      </c>
      <c r="C35" s="3" t="s">
        <v>11</v>
      </c>
      <c r="D35" s="3" t="s">
        <v>12</v>
      </c>
      <c r="E35" s="3">
        <v>58213</v>
      </c>
      <c r="F35" s="3">
        <v>356278</v>
      </c>
      <c r="G35" s="3" t="s">
        <v>13</v>
      </c>
      <c r="H35" s="3" t="s">
        <v>23</v>
      </c>
      <c r="I35" s="3">
        <v>720</v>
      </c>
      <c r="J35" s="5" t="s">
        <v>32</v>
      </c>
      <c r="K35" s="3" t="str">
        <f t="shared" si="0"/>
        <v>Patricia Nielsen</v>
      </c>
    </row>
    <row r="36" spans="1:11" x14ac:dyDescent="0.35">
      <c r="A36" s="4">
        <v>35</v>
      </c>
      <c r="B36" s="3" t="s">
        <v>58</v>
      </c>
      <c r="C36" s="3" t="s">
        <v>11</v>
      </c>
      <c r="D36" s="3" t="s">
        <v>21</v>
      </c>
      <c r="E36" s="3">
        <v>113345</v>
      </c>
      <c r="F36" s="3">
        <v>481443</v>
      </c>
      <c r="G36" s="3" t="s">
        <v>13</v>
      </c>
      <c r="H36" s="3" t="s">
        <v>23</v>
      </c>
      <c r="I36" s="3">
        <v>770</v>
      </c>
      <c r="J36" s="5" t="s">
        <v>15</v>
      </c>
      <c r="K36" s="3" t="str">
        <f t="shared" si="0"/>
        <v>Patricia Nielsen</v>
      </c>
    </row>
    <row r="37" spans="1:11" x14ac:dyDescent="0.35">
      <c r="A37" s="4">
        <v>36</v>
      </c>
      <c r="B37" s="3" t="s">
        <v>59</v>
      </c>
      <c r="C37" s="3" t="s">
        <v>11</v>
      </c>
      <c r="D37" s="3" t="s">
        <v>21</v>
      </c>
      <c r="E37" s="3">
        <v>75488</v>
      </c>
      <c r="F37" s="3">
        <v>69564</v>
      </c>
      <c r="G37" s="3" t="s">
        <v>13</v>
      </c>
      <c r="H37" s="3" t="s">
        <v>14</v>
      </c>
      <c r="I37" s="3">
        <v>562</v>
      </c>
      <c r="J37" s="5" t="s">
        <v>24</v>
      </c>
      <c r="K37" s="3" t="str">
        <f t="shared" si="0"/>
        <v>Mrs. Molly Jones MD</v>
      </c>
    </row>
    <row r="38" spans="1:11" x14ac:dyDescent="0.35">
      <c r="A38" s="4">
        <v>37</v>
      </c>
      <c r="B38" s="3" t="s">
        <v>60</v>
      </c>
      <c r="C38" s="3" t="s">
        <v>17</v>
      </c>
      <c r="D38" s="3" t="s">
        <v>18</v>
      </c>
      <c r="E38" s="3">
        <v>29420</v>
      </c>
      <c r="F38" s="3">
        <v>486089</v>
      </c>
      <c r="G38" s="3" t="s">
        <v>13</v>
      </c>
      <c r="H38" s="3" t="s">
        <v>23</v>
      </c>
      <c r="I38" s="3">
        <v>408</v>
      </c>
      <c r="J38" s="5" t="s">
        <v>32</v>
      </c>
      <c r="K38" s="3" t="str">
        <f t="shared" si="0"/>
        <v>Patricia Nielsen</v>
      </c>
    </row>
    <row r="39" spans="1:11" x14ac:dyDescent="0.35">
      <c r="A39" s="4">
        <v>38</v>
      </c>
      <c r="B39" s="3" t="s">
        <v>61</v>
      </c>
      <c r="C39" s="3" t="s">
        <v>17</v>
      </c>
      <c r="D39" s="3" t="s">
        <v>12</v>
      </c>
      <c r="E39" s="3">
        <v>53064</v>
      </c>
      <c r="F39" s="3">
        <v>445466</v>
      </c>
      <c r="G39" s="3" t="s">
        <v>13</v>
      </c>
      <c r="H39" s="3" t="s">
        <v>26</v>
      </c>
      <c r="I39" s="3">
        <v>715</v>
      </c>
      <c r="J39" s="5" t="s">
        <v>15</v>
      </c>
      <c r="K39" s="3" t="str">
        <f t="shared" si="0"/>
        <v>Audrey Russell</v>
      </c>
    </row>
    <row r="40" spans="1:11" x14ac:dyDescent="0.35">
      <c r="A40" s="4">
        <v>39</v>
      </c>
      <c r="B40" s="3" t="s">
        <v>62</v>
      </c>
      <c r="C40" s="3" t="s">
        <v>11</v>
      </c>
      <c r="D40" s="3" t="s">
        <v>21</v>
      </c>
      <c r="E40" s="3">
        <v>37061</v>
      </c>
      <c r="F40" s="3">
        <v>91427</v>
      </c>
      <c r="G40" s="3" t="s">
        <v>13</v>
      </c>
      <c r="H40" s="3" t="s">
        <v>23</v>
      </c>
      <c r="I40" s="3">
        <v>367</v>
      </c>
      <c r="J40" s="5" t="s">
        <v>32</v>
      </c>
      <c r="K40" s="3" t="str">
        <f t="shared" si="0"/>
        <v>Patricia Nielsen</v>
      </c>
    </row>
    <row r="41" spans="1:11" x14ac:dyDescent="0.35">
      <c r="A41" s="4">
        <v>40</v>
      </c>
      <c r="B41" s="3" t="s">
        <v>63</v>
      </c>
      <c r="C41" s="3" t="s">
        <v>11</v>
      </c>
      <c r="D41" s="3" t="s">
        <v>21</v>
      </c>
      <c r="E41" s="3">
        <v>111728</v>
      </c>
      <c r="F41" s="3">
        <v>251615</v>
      </c>
      <c r="G41" s="3" t="s">
        <v>13</v>
      </c>
      <c r="H41" s="3" t="s">
        <v>14</v>
      </c>
      <c r="I41" s="3">
        <v>798</v>
      </c>
      <c r="J41" s="5" t="s">
        <v>24</v>
      </c>
      <c r="K41" s="3" t="str">
        <f t="shared" si="0"/>
        <v>Mrs. Molly Jones MD</v>
      </c>
    </row>
    <row r="42" spans="1:11" x14ac:dyDescent="0.35">
      <c r="A42" s="4">
        <v>41</v>
      </c>
      <c r="B42" s="3" t="s">
        <v>64</v>
      </c>
      <c r="C42" s="3" t="s">
        <v>11</v>
      </c>
      <c r="D42" s="3" t="s">
        <v>12</v>
      </c>
      <c r="E42" s="3">
        <v>89585</v>
      </c>
      <c r="F42" s="3">
        <v>428976</v>
      </c>
      <c r="G42" s="3" t="s">
        <v>22</v>
      </c>
      <c r="H42" s="3" t="s">
        <v>26</v>
      </c>
      <c r="I42" s="3">
        <v>572</v>
      </c>
      <c r="J42" s="5" t="s">
        <v>24</v>
      </c>
      <c r="K42" s="3" t="str">
        <f t="shared" si="0"/>
        <v>Audrey Russell</v>
      </c>
    </row>
    <row r="43" spans="1:11" x14ac:dyDescent="0.35">
      <c r="A43" s="4">
        <v>42</v>
      </c>
      <c r="B43" s="3" t="s">
        <v>65</v>
      </c>
      <c r="C43" s="3" t="s">
        <v>11</v>
      </c>
      <c r="D43" s="3" t="s">
        <v>12</v>
      </c>
      <c r="E43" s="3">
        <v>94545</v>
      </c>
      <c r="F43" s="3">
        <v>404063</v>
      </c>
      <c r="G43" s="3" t="s">
        <v>22</v>
      </c>
      <c r="H43" s="3" t="s">
        <v>19</v>
      </c>
      <c r="I43" s="3">
        <v>765</v>
      </c>
      <c r="J43" s="5" t="s">
        <v>24</v>
      </c>
      <c r="K43" s="3" t="str">
        <f t="shared" si="0"/>
        <v>Dr. Luis Adams</v>
      </c>
    </row>
    <row r="44" spans="1:11" x14ac:dyDescent="0.35">
      <c r="A44" s="4">
        <v>43</v>
      </c>
      <c r="B44" s="3" t="s">
        <v>66</v>
      </c>
      <c r="C44" s="3" t="s">
        <v>11</v>
      </c>
      <c r="D44" s="3" t="s">
        <v>21</v>
      </c>
      <c r="E44" s="3">
        <v>40814</v>
      </c>
      <c r="F44" s="3">
        <v>245799</v>
      </c>
      <c r="G44" s="3" t="s">
        <v>13</v>
      </c>
      <c r="H44" s="3" t="s">
        <v>19</v>
      </c>
      <c r="I44" s="3">
        <v>411</v>
      </c>
      <c r="J44" s="5" t="s">
        <v>24</v>
      </c>
      <c r="K44" s="3" t="str">
        <f t="shared" si="0"/>
        <v>Dr. Luis Adams</v>
      </c>
    </row>
    <row r="45" spans="1:11" x14ac:dyDescent="0.35">
      <c r="A45" s="4">
        <v>44</v>
      </c>
      <c r="B45" s="3" t="s">
        <v>67</v>
      </c>
      <c r="C45" s="3" t="s">
        <v>17</v>
      </c>
      <c r="D45" s="3" t="s">
        <v>12</v>
      </c>
      <c r="E45" s="3">
        <v>109981</v>
      </c>
      <c r="F45" s="3">
        <v>50312</v>
      </c>
      <c r="G45" s="3" t="s">
        <v>22</v>
      </c>
      <c r="H45" s="3" t="s">
        <v>19</v>
      </c>
      <c r="I45" s="3">
        <v>536</v>
      </c>
      <c r="J45" s="5" t="s">
        <v>15</v>
      </c>
      <c r="K45" s="3" t="str">
        <f t="shared" si="0"/>
        <v>Dr. Luis Adams</v>
      </c>
    </row>
    <row r="46" spans="1:11" x14ac:dyDescent="0.35">
      <c r="A46" s="4">
        <v>45</v>
      </c>
      <c r="B46" s="3" t="s">
        <v>68</v>
      </c>
      <c r="C46" s="3" t="s">
        <v>17</v>
      </c>
      <c r="D46" s="3" t="s">
        <v>12</v>
      </c>
      <c r="E46" s="3">
        <v>22460</v>
      </c>
      <c r="F46" s="3">
        <v>379279</v>
      </c>
      <c r="G46" s="3" t="s">
        <v>22</v>
      </c>
      <c r="H46" s="3" t="s">
        <v>14</v>
      </c>
      <c r="I46" s="3">
        <v>603</v>
      </c>
      <c r="J46" s="5" t="s">
        <v>24</v>
      </c>
      <c r="K46" s="3" t="str">
        <f t="shared" si="0"/>
        <v>Mrs. Molly Jones MD</v>
      </c>
    </row>
    <row r="47" spans="1:11" x14ac:dyDescent="0.35">
      <c r="A47" s="4">
        <v>46</v>
      </c>
      <c r="B47" s="3" t="s">
        <v>69</v>
      </c>
      <c r="C47" s="3" t="s">
        <v>17</v>
      </c>
      <c r="D47" s="3" t="s">
        <v>21</v>
      </c>
      <c r="E47" s="3">
        <v>101563</v>
      </c>
      <c r="F47" s="3">
        <v>332211</v>
      </c>
      <c r="G47" s="3" t="s">
        <v>22</v>
      </c>
      <c r="H47" s="3" t="s">
        <v>19</v>
      </c>
      <c r="I47" s="3">
        <v>885</v>
      </c>
      <c r="J47" s="5" t="s">
        <v>24</v>
      </c>
      <c r="K47" s="3" t="str">
        <f t="shared" si="0"/>
        <v>Dr. Luis Adams</v>
      </c>
    </row>
    <row r="48" spans="1:11" x14ac:dyDescent="0.35">
      <c r="A48" s="4">
        <v>47</v>
      </c>
      <c r="B48" s="3" t="s">
        <v>70</v>
      </c>
      <c r="C48" s="3" t="s">
        <v>17</v>
      </c>
      <c r="D48" s="3" t="s">
        <v>21</v>
      </c>
      <c r="E48" s="3">
        <v>96035</v>
      </c>
      <c r="F48" s="3">
        <v>483226</v>
      </c>
      <c r="G48" s="3" t="s">
        <v>22</v>
      </c>
      <c r="H48" s="3" t="s">
        <v>23</v>
      </c>
      <c r="I48" s="3">
        <v>899</v>
      </c>
      <c r="J48" s="5" t="s">
        <v>32</v>
      </c>
      <c r="K48" s="3" t="str">
        <f t="shared" si="0"/>
        <v>Patricia Nielsen</v>
      </c>
    </row>
    <row r="49" spans="1:11" x14ac:dyDescent="0.35">
      <c r="A49" s="4">
        <v>48</v>
      </c>
      <c r="B49" s="3" t="s">
        <v>71</v>
      </c>
      <c r="C49" s="3" t="s">
        <v>11</v>
      </c>
      <c r="D49" s="3" t="s">
        <v>12</v>
      </c>
      <c r="E49" s="3">
        <v>91349</v>
      </c>
      <c r="F49" s="3">
        <v>449991</v>
      </c>
      <c r="G49" s="3" t="s">
        <v>22</v>
      </c>
      <c r="H49" s="3" t="s">
        <v>26</v>
      </c>
      <c r="I49" s="3">
        <v>431</v>
      </c>
      <c r="J49" s="5" t="s">
        <v>32</v>
      </c>
      <c r="K49" s="3" t="str">
        <f t="shared" si="0"/>
        <v>Audrey Russell</v>
      </c>
    </row>
    <row r="50" spans="1:11" x14ac:dyDescent="0.35">
      <c r="A50" s="4">
        <v>49</v>
      </c>
      <c r="B50" s="3" t="s">
        <v>72</v>
      </c>
      <c r="C50" s="3" t="s">
        <v>11</v>
      </c>
      <c r="D50" s="3" t="s">
        <v>18</v>
      </c>
      <c r="E50" s="3">
        <v>69915</v>
      </c>
      <c r="F50" s="3">
        <v>404383</v>
      </c>
      <c r="G50" s="3" t="s">
        <v>22</v>
      </c>
      <c r="H50" s="3" t="s">
        <v>19</v>
      </c>
      <c r="I50" s="3">
        <v>680</v>
      </c>
      <c r="J50" s="5" t="s">
        <v>32</v>
      </c>
      <c r="K50" s="3" t="str">
        <f t="shared" si="0"/>
        <v>Dr. Luis Adams</v>
      </c>
    </row>
    <row r="51" spans="1:11" x14ac:dyDescent="0.35">
      <c r="A51" s="4">
        <v>50</v>
      </c>
      <c r="B51" s="3" t="s">
        <v>73</v>
      </c>
      <c r="C51" s="3" t="s">
        <v>11</v>
      </c>
      <c r="D51" s="3" t="s">
        <v>18</v>
      </c>
      <c r="E51" s="3">
        <v>23768</v>
      </c>
      <c r="F51" s="3">
        <v>354734</v>
      </c>
      <c r="G51" s="3" t="s">
        <v>13</v>
      </c>
      <c r="H51" s="3" t="s">
        <v>26</v>
      </c>
      <c r="I51" s="3">
        <v>666</v>
      </c>
      <c r="J51" s="5" t="s">
        <v>32</v>
      </c>
      <c r="K51" s="3" t="str">
        <f t="shared" si="0"/>
        <v>Audrey Russell</v>
      </c>
    </row>
    <row r="52" spans="1:11" x14ac:dyDescent="0.35">
      <c r="A52" s="4">
        <v>51</v>
      </c>
      <c r="B52" s="3" t="s">
        <v>74</v>
      </c>
      <c r="C52" s="3" t="s">
        <v>11</v>
      </c>
      <c r="D52" s="3" t="s">
        <v>12</v>
      </c>
      <c r="E52" s="3">
        <v>36370</v>
      </c>
      <c r="F52" s="3">
        <v>492070</v>
      </c>
      <c r="G52" s="3" t="s">
        <v>13</v>
      </c>
      <c r="H52" s="3" t="s">
        <v>23</v>
      </c>
      <c r="I52" s="3">
        <v>681</v>
      </c>
      <c r="J52" s="5" t="s">
        <v>15</v>
      </c>
      <c r="K52" s="3" t="str">
        <f t="shared" si="0"/>
        <v>Patricia Nielsen</v>
      </c>
    </row>
    <row r="53" spans="1:11" x14ac:dyDescent="0.35">
      <c r="A53" s="4">
        <v>52</v>
      </c>
      <c r="B53" s="3" t="s">
        <v>75</v>
      </c>
      <c r="C53" s="3" t="s">
        <v>17</v>
      </c>
      <c r="D53" s="3" t="s">
        <v>21</v>
      </c>
      <c r="E53" s="3">
        <v>24849</v>
      </c>
      <c r="F53" s="3">
        <v>413563</v>
      </c>
      <c r="G53" s="3" t="s">
        <v>22</v>
      </c>
      <c r="H53" s="3" t="s">
        <v>14</v>
      </c>
      <c r="I53" s="3">
        <v>729</v>
      </c>
      <c r="J53" s="5" t="s">
        <v>15</v>
      </c>
      <c r="K53" s="3" t="str">
        <f t="shared" si="0"/>
        <v>Mrs. Molly Jones MD</v>
      </c>
    </row>
    <row r="54" spans="1:11" x14ac:dyDescent="0.35">
      <c r="A54" s="4">
        <v>53</v>
      </c>
      <c r="B54" s="3" t="s">
        <v>76</v>
      </c>
      <c r="C54" s="3" t="s">
        <v>17</v>
      </c>
      <c r="D54" s="3" t="s">
        <v>21</v>
      </c>
      <c r="E54" s="3">
        <v>108297</v>
      </c>
      <c r="F54" s="3">
        <v>17991</v>
      </c>
      <c r="G54" s="3" t="s">
        <v>22</v>
      </c>
      <c r="H54" s="3" t="s">
        <v>23</v>
      </c>
      <c r="I54" s="3">
        <v>800</v>
      </c>
      <c r="J54" s="5" t="s">
        <v>15</v>
      </c>
      <c r="K54" s="3" t="str">
        <f t="shared" si="0"/>
        <v>Patricia Nielsen</v>
      </c>
    </row>
    <row r="55" spans="1:11" x14ac:dyDescent="0.35">
      <c r="A55" s="4">
        <v>54</v>
      </c>
      <c r="B55" s="3" t="s">
        <v>77</v>
      </c>
      <c r="C55" s="3" t="s">
        <v>11</v>
      </c>
      <c r="D55" s="3" t="s">
        <v>18</v>
      </c>
      <c r="E55" s="3">
        <v>47804</v>
      </c>
      <c r="F55" s="3">
        <v>227530</v>
      </c>
      <c r="G55" s="3" t="s">
        <v>13</v>
      </c>
      <c r="H55" s="3" t="s">
        <v>14</v>
      </c>
      <c r="I55" s="3">
        <v>391</v>
      </c>
      <c r="J55" s="5" t="s">
        <v>15</v>
      </c>
      <c r="K55" s="3" t="str">
        <f t="shared" si="0"/>
        <v>Mrs. Molly Jones MD</v>
      </c>
    </row>
    <row r="56" spans="1:11" x14ac:dyDescent="0.35">
      <c r="A56" s="4">
        <v>55</v>
      </c>
      <c r="B56" s="3" t="s">
        <v>78</v>
      </c>
      <c r="C56" s="3" t="s">
        <v>17</v>
      </c>
      <c r="D56" s="3" t="s">
        <v>18</v>
      </c>
      <c r="E56" s="3">
        <v>116244</v>
      </c>
      <c r="F56" s="3">
        <v>142701</v>
      </c>
      <c r="G56" s="3" t="s">
        <v>22</v>
      </c>
      <c r="H56" s="3" t="s">
        <v>19</v>
      </c>
      <c r="I56" s="3">
        <v>519</v>
      </c>
      <c r="J56" s="5" t="s">
        <v>15</v>
      </c>
      <c r="K56" s="3" t="str">
        <f t="shared" si="0"/>
        <v>Dr. Luis Adams</v>
      </c>
    </row>
    <row r="57" spans="1:11" x14ac:dyDescent="0.35">
      <c r="A57" s="4">
        <v>56</v>
      </c>
      <c r="B57" s="3" t="s">
        <v>79</v>
      </c>
      <c r="C57" s="3" t="s">
        <v>17</v>
      </c>
      <c r="D57" s="3" t="s">
        <v>21</v>
      </c>
      <c r="E57" s="3">
        <v>59802</v>
      </c>
      <c r="F57" s="3">
        <v>203804</v>
      </c>
      <c r="G57" s="3" t="s">
        <v>22</v>
      </c>
      <c r="H57" s="3" t="s">
        <v>14</v>
      </c>
      <c r="I57" s="3">
        <v>413</v>
      </c>
      <c r="J57" s="5" t="s">
        <v>24</v>
      </c>
      <c r="K57" s="3" t="str">
        <f t="shared" si="0"/>
        <v>Mrs. Molly Jones MD</v>
      </c>
    </row>
    <row r="58" spans="1:11" x14ac:dyDescent="0.35">
      <c r="A58" s="4">
        <v>57</v>
      </c>
      <c r="B58" s="3" t="s">
        <v>80</v>
      </c>
      <c r="C58" s="3" t="s">
        <v>17</v>
      </c>
      <c r="D58" s="3" t="s">
        <v>18</v>
      </c>
      <c r="E58" s="3">
        <v>107161</v>
      </c>
      <c r="F58" s="3">
        <v>105235</v>
      </c>
      <c r="G58" s="3" t="s">
        <v>22</v>
      </c>
      <c r="H58" s="3" t="s">
        <v>19</v>
      </c>
      <c r="I58" s="3">
        <v>626</v>
      </c>
      <c r="J58" s="5" t="s">
        <v>24</v>
      </c>
      <c r="K58" s="3" t="str">
        <f t="shared" si="0"/>
        <v>Dr. Luis Adams</v>
      </c>
    </row>
    <row r="59" spans="1:11" x14ac:dyDescent="0.35">
      <c r="A59" s="4">
        <v>58</v>
      </c>
      <c r="B59" s="3" t="s">
        <v>81</v>
      </c>
      <c r="C59" s="3" t="s">
        <v>11</v>
      </c>
      <c r="D59" s="3" t="s">
        <v>18</v>
      </c>
      <c r="E59" s="3">
        <v>95518</v>
      </c>
      <c r="F59" s="3">
        <v>221010</v>
      </c>
      <c r="G59" s="3" t="s">
        <v>22</v>
      </c>
      <c r="H59" s="3" t="s">
        <v>26</v>
      </c>
      <c r="I59" s="3">
        <v>532</v>
      </c>
      <c r="J59" s="5" t="s">
        <v>24</v>
      </c>
      <c r="K59" s="3" t="str">
        <f t="shared" si="0"/>
        <v>Audrey Russell</v>
      </c>
    </row>
    <row r="60" spans="1:11" x14ac:dyDescent="0.35">
      <c r="A60" s="4">
        <v>59</v>
      </c>
      <c r="B60" s="3" t="s">
        <v>82</v>
      </c>
      <c r="C60" s="3" t="s">
        <v>11</v>
      </c>
      <c r="D60" s="3" t="s">
        <v>18</v>
      </c>
      <c r="E60" s="3">
        <v>62457</v>
      </c>
      <c r="F60" s="3">
        <v>470446</v>
      </c>
      <c r="G60" s="3" t="s">
        <v>13</v>
      </c>
      <c r="H60" s="3" t="s">
        <v>26</v>
      </c>
      <c r="I60" s="3">
        <v>695</v>
      </c>
      <c r="J60" s="5" t="s">
        <v>24</v>
      </c>
      <c r="K60" s="3" t="str">
        <f t="shared" si="0"/>
        <v>Audrey Russell</v>
      </c>
    </row>
    <row r="61" spans="1:11" x14ac:dyDescent="0.35">
      <c r="A61" s="4">
        <v>60</v>
      </c>
      <c r="B61" s="3" t="s">
        <v>83</v>
      </c>
      <c r="C61" s="3" t="s">
        <v>11</v>
      </c>
      <c r="D61" s="3" t="s">
        <v>21</v>
      </c>
      <c r="E61" s="3">
        <v>72823</v>
      </c>
      <c r="F61" s="3">
        <v>272637</v>
      </c>
      <c r="G61" s="3" t="s">
        <v>13</v>
      </c>
      <c r="H61" s="3" t="s">
        <v>19</v>
      </c>
      <c r="I61" s="3">
        <v>503</v>
      </c>
      <c r="J61" s="5" t="s">
        <v>24</v>
      </c>
      <c r="K61" s="3" t="str">
        <f t="shared" si="0"/>
        <v>Dr. Luis Adams</v>
      </c>
    </row>
    <row r="62" spans="1:11" x14ac:dyDescent="0.35">
      <c r="A62" s="4">
        <v>61</v>
      </c>
      <c r="B62" s="3" t="s">
        <v>84</v>
      </c>
      <c r="C62" s="3" t="s">
        <v>11</v>
      </c>
      <c r="D62" s="3" t="s">
        <v>21</v>
      </c>
      <c r="E62" s="3">
        <v>58047</v>
      </c>
      <c r="F62" s="3">
        <v>450660</v>
      </c>
      <c r="G62" s="3" t="s">
        <v>13</v>
      </c>
      <c r="H62" s="3" t="s">
        <v>19</v>
      </c>
      <c r="I62" s="3">
        <v>408</v>
      </c>
      <c r="J62" s="5" t="s">
        <v>15</v>
      </c>
      <c r="K62" s="3" t="str">
        <f t="shared" si="0"/>
        <v>Dr. Luis Adams</v>
      </c>
    </row>
    <row r="63" spans="1:11" x14ac:dyDescent="0.35">
      <c r="A63" s="4">
        <v>62</v>
      </c>
      <c r="B63" s="3" t="s">
        <v>85</v>
      </c>
      <c r="C63" s="3" t="s">
        <v>11</v>
      </c>
      <c r="D63" s="3" t="s">
        <v>12</v>
      </c>
      <c r="E63" s="3">
        <v>119261</v>
      </c>
      <c r="F63" s="3">
        <v>150352</v>
      </c>
      <c r="G63" s="3" t="s">
        <v>13</v>
      </c>
      <c r="H63" s="3" t="s">
        <v>19</v>
      </c>
      <c r="I63" s="3">
        <v>315</v>
      </c>
      <c r="J63" s="5" t="s">
        <v>32</v>
      </c>
      <c r="K63" s="3" t="str">
        <f t="shared" si="0"/>
        <v>Dr. Luis Adams</v>
      </c>
    </row>
    <row r="64" spans="1:11" x14ac:dyDescent="0.35">
      <c r="A64" s="4">
        <v>63</v>
      </c>
      <c r="B64" s="3" t="s">
        <v>86</v>
      </c>
      <c r="C64" s="3" t="s">
        <v>17</v>
      </c>
      <c r="D64" s="3" t="s">
        <v>21</v>
      </c>
      <c r="E64" s="3">
        <v>22827</v>
      </c>
      <c r="F64" s="3">
        <v>388459</v>
      </c>
      <c r="G64" s="3" t="s">
        <v>13</v>
      </c>
      <c r="H64" s="3" t="s">
        <v>23</v>
      </c>
      <c r="I64" s="3">
        <v>657</v>
      </c>
      <c r="J64" s="5" t="s">
        <v>15</v>
      </c>
      <c r="K64" s="3" t="str">
        <f t="shared" si="0"/>
        <v>Patricia Nielsen</v>
      </c>
    </row>
    <row r="65" spans="1:11" x14ac:dyDescent="0.35">
      <c r="A65" s="4">
        <v>64</v>
      </c>
      <c r="B65" s="3" t="s">
        <v>87</v>
      </c>
      <c r="C65" s="3" t="s">
        <v>11</v>
      </c>
      <c r="D65" s="3" t="s">
        <v>12</v>
      </c>
      <c r="E65" s="3">
        <v>97801</v>
      </c>
      <c r="F65" s="3">
        <v>68583</v>
      </c>
      <c r="G65" s="3" t="s">
        <v>13</v>
      </c>
      <c r="H65" s="3" t="s">
        <v>26</v>
      </c>
      <c r="I65" s="3">
        <v>705</v>
      </c>
      <c r="J65" s="5" t="s">
        <v>15</v>
      </c>
      <c r="K65" s="3" t="str">
        <f t="shared" si="0"/>
        <v>Audrey Russell</v>
      </c>
    </row>
    <row r="66" spans="1:11" x14ac:dyDescent="0.35">
      <c r="A66" s="4">
        <v>65</v>
      </c>
      <c r="B66" s="3" t="s">
        <v>88</v>
      </c>
      <c r="C66" s="3" t="s">
        <v>17</v>
      </c>
      <c r="D66" s="3" t="s">
        <v>21</v>
      </c>
      <c r="E66" s="3">
        <v>40769</v>
      </c>
      <c r="F66" s="3">
        <v>121955</v>
      </c>
      <c r="G66" s="3" t="s">
        <v>22</v>
      </c>
      <c r="H66" s="3" t="s">
        <v>19</v>
      </c>
      <c r="I66" s="3">
        <v>515</v>
      </c>
      <c r="J66" s="5" t="s">
        <v>15</v>
      </c>
      <c r="K66" s="3" t="str">
        <f t="shared" ref="K66:K129" si="1">_xlfn.XLOOKUP(H66,$M$2:$M$5,$N$2:$N$5)</f>
        <v>Dr. Luis Adams</v>
      </c>
    </row>
    <row r="67" spans="1:11" x14ac:dyDescent="0.35">
      <c r="A67" s="4">
        <v>66</v>
      </c>
      <c r="B67" s="3" t="s">
        <v>89</v>
      </c>
      <c r="C67" s="3" t="s">
        <v>17</v>
      </c>
      <c r="D67" s="3" t="s">
        <v>18</v>
      </c>
      <c r="E67" s="3">
        <v>42831</v>
      </c>
      <c r="F67" s="3">
        <v>320984</v>
      </c>
      <c r="G67" s="3" t="s">
        <v>22</v>
      </c>
      <c r="H67" s="3" t="s">
        <v>14</v>
      </c>
      <c r="I67" s="3">
        <v>567</v>
      </c>
      <c r="J67" s="5" t="s">
        <v>15</v>
      </c>
      <c r="K67" s="3" t="str">
        <f t="shared" si="1"/>
        <v>Mrs. Molly Jones MD</v>
      </c>
    </row>
    <row r="68" spans="1:11" x14ac:dyDescent="0.35">
      <c r="A68" s="4">
        <v>67</v>
      </c>
      <c r="B68" s="3" t="s">
        <v>90</v>
      </c>
      <c r="C68" s="3" t="s">
        <v>17</v>
      </c>
      <c r="D68" s="3" t="s">
        <v>21</v>
      </c>
      <c r="E68" s="3">
        <v>89310</v>
      </c>
      <c r="F68" s="3">
        <v>322754</v>
      </c>
      <c r="G68" s="3" t="s">
        <v>22</v>
      </c>
      <c r="H68" s="3" t="s">
        <v>14</v>
      </c>
      <c r="I68" s="3">
        <v>628</v>
      </c>
      <c r="J68" s="5" t="s">
        <v>24</v>
      </c>
      <c r="K68" s="3" t="str">
        <f t="shared" si="1"/>
        <v>Mrs. Molly Jones MD</v>
      </c>
    </row>
    <row r="69" spans="1:11" x14ac:dyDescent="0.35">
      <c r="A69" s="4">
        <v>68</v>
      </c>
      <c r="B69" s="3" t="s">
        <v>91</v>
      </c>
      <c r="C69" s="3" t="s">
        <v>17</v>
      </c>
      <c r="D69" s="3" t="s">
        <v>18</v>
      </c>
      <c r="E69" s="3">
        <v>101211</v>
      </c>
      <c r="F69" s="3">
        <v>373107</v>
      </c>
      <c r="G69" s="3" t="s">
        <v>22</v>
      </c>
      <c r="H69" s="3" t="s">
        <v>19</v>
      </c>
      <c r="I69" s="3">
        <v>838</v>
      </c>
      <c r="J69" s="5" t="s">
        <v>32</v>
      </c>
      <c r="K69" s="3" t="str">
        <f t="shared" si="1"/>
        <v>Dr. Luis Adams</v>
      </c>
    </row>
    <row r="70" spans="1:11" x14ac:dyDescent="0.35">
      <c r="A70" s="4">
        <v>69</v>
      </c>
      <c r="B70" s="3" t="s">
        <v>92</v>
      </c>
      <c r="C70" s="3" t="s">
        <v>11</v>
      </c>
      <c r="D70" s="3" t="s">
        <v>18</v>
      </c>
      <c r="E70" s="3">
        <v>25855</v>
      </c>
      <c r="F70" s="3">
        <v>370155</v>
      </c>
      <c r="G70" s="3" t="s">
        <v>22</v>
      </c>
      <c r="H70" s="3" t="s">
        <v>14</v>
      </c>
      <c r="I70" s="3">
        <v>813</v>
      </c>
      <c r="J70" s="5" t="s">
        <v>24</v>
      </c>
      <c r="K70" s="3" t="str">
        <f t="shared" si="1"/>
        <v>Mrs. Molly Jones MD</v>
      </c>
    </row>
    <row r="71" spans="1:11" x14ac:dyDescent="0.35">
      <c r="A71" s="4">
        <v>70</v>
      </c>
      <c r="B71" s="3" t="s">
        <v>93</v>
      </c>
      <c r="C71" s="3" t="s">
        <v>11</v>
      </c>
      <c r="D71" s="3" t="s">
        <v>21</v>
      </c>
      <c r="E71" s="3">
        <v>68506</v>
      </c>
      <c r="F71" s="3">
        <v>165891</v>
      </c>
      <c r="G71" s="3" t="s">
        <v>13</v>
      </c>
      <c r="H71" s="3" t="s">
        <v>23</v>
      </c>
      <c r="I71" s="3">
        <v>396</v>
      </c>
      <c r="J71" s="5" t="s">
        <v>32</v>
      </c>
      <c r="K71" s="3" t="str">
        <f t="shared" si="1"/>
        <v>Patricia Nielsen</v>
      </c>
    </row>
    <row r="72" spans="1:11" x14ac:dyDescent="0.35">
      <c r="A72" s="4">
        <v>71</v>
      </c>
      <c r="B72" s="3" t="s">
        <v>94</v>
      </c>
      <c r="C72" s="3" t="s">
        <v>17</v>
      </c>
      <c r="D72" s="3" t="s">
        <v>18</v>
      </c>
      <c r="E72" s="3">
        <v>78627</v>
      </c>
      <c r="F72" s="3">
        <v>438372</v>
      </c>
      <c r="G72" s="3" t="s">
        <v>13</v>
      </c>
      <c r="H72" s="3" t="s">
        <v>23</v>
      </c>
      <c r="I72" s="3">
        <v>649</v>
      </c>
      <c r="J72" s="5" t="s">
        <v>24</v>
      </c>
      <c r="K72" s="3" t="str">
        <f t="shared" si="1"/>
        <v>Patricia Nielsen</v>
      </c>
    </row>
    <row r="73" spans="1:11" x14ac:dyDescent="0.35">
      <c r="A73" s="4">
        <v>72</v>
      </c>
      <c r="B73" s="3" t="s">
        <v>95</v>
      </c>
      <c r="C73" s="3" t="s">
        <v>17</v>
      </c>
      <c r="D73" s="3" t="s">
        <v>12</v>
      </c>
      <c r="E73" s="3">
        <v>80609</v>
      </c>
      <c r="F73" s="3">
        <v>22323</v>
      </c>
      <c r="G73" s="3" t="s">
        <v>13</v>
      </c>
      <c r="H73" s="3" t="s">
        <v>23</v>
      </c>
      <c r="I73" s="3">
        <v>664</v>
      </c>
      <c r="J73" s="5" t="s">
        <v>32</v>
      </c>
      <c r="K73" s="3" t="str">
        <f t="shared" si="1"/>
        <v>Patricia Nielsen</v>
      </c>
    </row>
    <row r="74" spans="1:11" x14ac:dyDescent="0.35">
      <c r="A74" s="4">
        <v>73</v>
      </c>
      <c r="B74" s="3" t="s">
        <v>96</v>
      </c>
      <c r="C74" s="3" t="s">
        <v>11</v>
      </c>
      <c r="D74" s="3" t="s">
        <v>12</v>
      </c>
      <c r="E74" s="3">
        <v>81124</v>
      </c>
      <c r="F74" s="3">
        <v>9317</v>
      </c>
      <c r="G74" s="3" t="s">
        <v>22</v>
      </c>
      <c r="H74" s="3" t="s">
        <v>26</v>
      </c>
      <c r="I74" s="3">
        <v>527</v>
      </c>
      <c r="J74" s="5" t="s">
        <v>32</v>
      </c>
      <c r="K74" s="3" t="str">
        <f t="shared" si="1"/>
        <v>Audrey Russell</v>
      </c>
    </row>
    <row r="75" spans="1:11" x14ac:dyDescent="0.35">
      <c r="A75" s="4">
        <v>74</v>
      </c>
      <c r="B75" s="3" t="s">
        <v>97</v>
      </c>
      <c r="C75" s="3" t="s">
        <v>11</v>
      </c>
      <c r="D75" s="3" t="s">
        <v>21</v>
      </c>
      <c r="E75" s="3">
        <v>50703</v>
      </c>
      <c r="F75" s="3">
        <v>448003</v>
      </c>
      <c r="G75" s="3" t="s">
        <v>13</v>
      </c>
      <c r="H75" s="3" t="s">
        <v>14</v>
      </c>
      <c r="I75" s="3">
        <v>492</v>
      </c>
      <c r="J75" s="5" t="s">
        <v>15</v>
      </c>
      <c r="K75" s="3" t="str">
        <f t="shared" si="1"/>
        <v>Mrs. Molly Jones MD</v>
      </c>
    </row>
    <row r="76" spans="1:11" x14ac:dyDescent="0.35">
      <c r="A76" s="4">
        <v>75</v>
      </c>
      <c r="B76" s="3" t="s">
        <v>98</v>
      </c>
      <c r="C76" s="3" t="s">
        <v>11</v>
      </c>
      <c r="D76" s="3" t="s">
        <v>12</v>
      </c>
      <c r="E76" s="3">
        <v>105298</v>
      </c>
      <c r="F76" s="3">
        <v>43573</v>
      </c>
      <c r="G76" s="3" t="s">
        <v>22</v>
      </c>
      <c r="H76" s="3" t="s">
        <v>23</v>
      </c>
      <c r="I76" s="3">
        <v>420</v>
      </c>
      <c r="J76" s="5" t="s">
        <v>32</v>
      </c>
      <c r="K76" s="3" t="str">
        <f t="shared" si="1"/>
        <v>Patricia Nielsen</v>
      </c>
    </row>
    <row r="77" spans="1:11" x14ac:dyDescent="0.35">
      <c r="A77" s="4">
        <v>76</v>
      </c>
      <c r="B77" s="3" t="s">
        <v>99</v>
      </c>
      <c r="C77" s="3" t="s">
        <v>11</v>
      </c>
      <c r="D77" s="3" t="s">
        <v>21</v>
      </c>
      <c r="E77" s="3">
        <v>115180</v>
      </c>
      <c r="F77" s="3">
        <v>91820</v>
      </c>
      <c r="G77" s="3" t="s">
        <v>13</v>
      </c>
      <c r="H77" s="3" t="s">
        <v>26</v>
      </c>
      <c r="I77" s="3">
        <v>885</v>
      </c>
      <c r="J77" s="5" t="s">
        <v>32</v>
      </c>
      <c r="K77" s="3" t="str">
        <f t="shared" si="1"/>
        <v>Audrey Russell</v>
      </c>
    </row>
    <row r="78" spans="1:11" x14ac:dyDescent="0.35">
      <c r="A78" s="4">
        <v>77</v>
      </c>
      <c r="B78" s="3" t="s">
        <v>100</v>
      </c>
      <c r="C78" s="3" t="s">
        <v>17</v>
      </c>
      <c r="D78" s="3" t="s">
        <v>18</v>
      </c>
      <c r="E78" s="3">
        <v>113423</v>
      </c>
      <c r="F78" s="3">
        <v>314944</v>
      </c>
      <c r="G78" s="3" t="s">
        <v>22</v>
      </c>
      <c r="H78" s="3" t="s">
        <v>14</v>
      </c>
      <c r="I78" s="3">
        <v>874</v>
      </c>
      <c r="J78" s="5" t="s">
        <v>24</v>
      </c>
      <c r="K78" s="3" t="str">
        <f t="shared" si="1"/>
        <v>Mrs. Molly Jones MD</v>
      </c>
    </row>
    <row r="79" spans="1:11" x14ac:dyDescent="0.35">
      <c r="A79" s="4">
        <v>78</v>
      </c>
      <c r="B79" s="3" t="s">
        <v>101</v>
      </c>
      <c r="C79" s="3" t="s">
        <v>17</v>
      </c>
      <c r="D79" s="3" t="s">
        <v>12</v>
      </c>
      <c r="E79" s="3">
        <v>39439</v>
      </c>
      <c r="F79" s="3">
        <v>117717</v>
      </c>
      <c r="G79" s="3" t="s">
        <v>13</v>
      </c>
      <c r="H79" s="3" t="s">
        <v>26</v>
      </c>
      <c r="I79" s="3">
        <v>743</v>
      </c>
      <c r="J79" s="5" t="s">
        <v>32</v>
      </c>
      <c r="K79" s="3" t="str">
        <f t="shared" si="1"/>
        <v>Audrey Russell</v>
      </c>
    </row>
    <row r="80" spans="1:11" x14ac:dyDescent="0.35">
      <c r="A80" s="4">
        <v>79</v>
      </c>
      <c r="B80" s="3" t="s">
        <v>102</v>
      </c>
      <c r="C80" s="3" t="s">
        <v>11</v>
      </c>
      <c r="D80" s="3" t="s">
        <v>21</v>
      </c>
      <c r="E80" s="3">
        <v>112819</v>
      </c>
      <c r="F80" s="3">
        <v>52136</v>
      </c>
      <c r="G80" s="3" t="s">
        <v>13</v>
      </c>
      <c r="H80" s="3" t="s">
        <v>19</v>
      </c>
      <c r="I80" s="3">
        <v>308</v>
      </c>
      <c r="J80" s="5" t="s">
        <v>32</v>
      </c>
      <c r="K80" s="3" t="str">
        <f t="shared" si="1"/>
        <v>Dr. Luis Adams</v>
      </c>
    </row>
    <row r="81" spans="1:11" x14ac:dyDescent="0.35">
      <c r="A81" s="4">
        <v>80</v>
      </c>
      <c r="B81" s="3" t="s">
        <v>103</v>
      </c>
      <c r="C81" s="3" t="s">
        <v>11</v>
      </c>
      <c r="D81" s="3" t="s">
        <v>18</v>
      </c>
      <c r="E81" s="3">
        <v>82560</v>
      </c>
      <c r="F81" s="3">
        <v>281509</v>
      </c>
      <c r="G81" s="3" t="s">
        <v>13</v>
      </c>
      <c r="H81" s="3" t="s">
        <v>23</v>
      </c>
      <c r="I81" s="3">
        <v>592</v>
      </c>
      <c r="J81" s="5" t="s">
        <v>32</v>
      </c>
      <c r="K81" s="3" t="str">
        <f t="shared" si="1"/>
        <v>Patricia Nielsen</v>
      </c>
    </row>
    <row r="82" spans="1:11" x14ac:dyDescent="0.35">
      <c r="A82" s="4">
        <v>81</v>
      </c>
      <c r="B82" s="3" t="s">
        <v>104</v>
      </c>
      <c r="C82" s="3" t="s">
        <v>11</v>
      </c>
      <c r="D82" s="3" t="s">
        <v>12</v>
      </c>
      <c r="E82" s="3">
        <v>38554</v>
      </c>
      <c r="F82" s="3">
        <v>127501</v>
      </c>
      <c r="G82" s="3" t="s">
        <v>13</v>
      </c>
      <c r="H82" s="3" t="s">
        <v>14</v>
      </c>
      <c r="I82" s="3">
        <v>536</v>
      </c>
      <c r="J82" s="5" t="s">
        <v>24</v>
      </c>
      <c r="K82" s="3" t="str">
        <f t="shared" si="1"/>
        <v>Mrs. Molly Jones MD</v>
      </c>
    </row>
    <row r="83" spans="1:11" x14ac:dyDescent="0.35">
      <c r="A83" s="4">
        <v>82</v>
      </c>
      <c r="B83" s="3" t="s">
        <v>105</v>
      </c>
      <c r="C83" s="3" t="s">
        <v>17</v>
      </c>
      <c r="D83" s="3" t="s">
        <v>21</v>
      </c>
      <c r="E83" s="3">
        <v>72209</v>
      </c>
      <c r="F83" s="3">
        <v>186985</v>
      </c>
      <c r="G83" s="3" t="s">
        <v>22</v>
      </c>
      <c r="H83" s="3" t="s">
        <v>19</v>
      </c>
      <c r="I83" s="3">
        <v>636</v>
      </c>
      <c r="J83" s="5" t="s">
        <v>24</v>
      </c>
      <c r="K83" s="3" t="str">
        <f t="shared" si="1"/>
        <v>Dr. Luis Adams</v>
      </c>
    </row>
    <row r="84" spans="1:11" x14ac:dyDescent="0.35">
      <c r="A84" s="4">
        <v>83</v>
      </c>
      <c r="B84" s="3" t="s">
        <v>106</v>
      </c>
      <c r="C84" s="3" t="s">
        <v>17</v>
      </c>
      <c r="D84" s="3" t="s">
        <v>12</v>
      </c>
      <c r="E84" s="3">
        <v>91508</v>
      </c>
      <c r="F84" s="3">
        <v>78301</v>
      </c>
      <c r="G84" s="3" t="s">
        <v>22</v>
      </c>
      <c r="H84" s="3" t="s">
        <v>23</v>
      </c>
      <c r="I84" s="3">
        <v>652</v>
      </c>
      <c r="J84" s="5" t="s">
        <v>15</v>
      </c>
      <c r="K84" s="3" t="str">
        <f t="shared" si="1"/>
        <v>Patricia Nielsen</v>
      </c>
    </row>
    <row r="85" spans="1:11" x14ac:dyDescent="0.35">
      <c r="A85" s="4">
        <v>84</v>
      </c>
      <c r="B85" s="3" t="s">
        <v>107</v>
      </c>
      <c r="C85" s="3" t="s">
        <v>11</v>
      </c>
      <c r="D85" s="3" t="s">
        <v>12</v>
      </c>
      <c r="E85" s="3">
        <v>52314</v>
      </c>
      <c r="F85" s="3">
        <v>183214</v>
      </c>
      <c r="G85" s="3" t="s">
        <v>22</v>
      </c>
      <c r="H85" s="3" t="s">
        <v>14</v>
      </c>
      <c r="I85" s="3">
        <v>610</v>
      </c>
      <c r="J85" s="5" t="s">
        <v>32</v>
      </c>
      <c r="K85" s="3" t="str">
        <f t="shared" si="1"/>
        <v>Mrs. Molly Jones MD</v>
      </c>
    </row>
    <row r="86" spans="1:11" x14ac:dyDescent="0.35">
      <c r="A86" s="4">
        <v>85</v>
      </c>
      <c r="B86" s="3" t="s">
        <v>108</v>
      </c>
      <c r="C86" s="3" t="s">
        <v>11</v>
      </c>
      <c r="D86" s="3" t="s">
        <v>21</v>
      </c>
      <c r="E86" s="3">
        <v>71129</v>
      </c>
      <c r="F86" s="3">
        <v>137279</v>
      </c>
      <c r="G86" s="3" t="s">
        <v>13</v>
      </c>
      <c r="H86" s="3" t="s">
        <v>26</v>
      </c>
      <c r="I86" s="3">
        <v>382</v>
      </c>
      <c r="J86" s="5" t="s">
        <v>24</v>
      </c>
      <c r="K86" s="3" t="str">
        <f t="shared" si="1"/>
        <v>Audrey Russell</v>
      </c>
    </row>
    <row r="87" spans="1:11" x14ac:dyDescent="0.35">
      <c r="A87" s="4">
        <v>86</v>
      </c>
      <c r="B87" s="3" t="s">
        <v>109</v>
      </c>
      <c r="C87" s="3" t="s">
        <v>17</v>
      </c>
      <c r="D87" s="3" t="s">
        <v>12</v>
      </c>
      <c r="E87" s="3">
        <v>39618</v>
      </c>
      <c r="F87" s="3">
        <v>218478</v>
      </c>
      <c r="G87" s="3" t="s">
        <v>13</v>
      </c>
      <c r="H87" s="3" t="s">
        <v>14</v>
      </c>
      <c r="I87" s="3">
        <v>382</v>
      </c>
      <c r="J87" s="5" t="s">
        <v>32</v>
      </c>
      <c r="K87" s="3" t="str">
        <f t="shared" si="1"/>
        <v>Mrs. Molly Jones MD</v>
      </c>
    </row>
    <row r="88" spans="1:11" x14ac:dyDescent="0.35">
      <c r="A88" s="4">
        <v>87</v>
      </c>
      <c r="B88" s="3" t="s">
        <v>110</v>
      </c>
      <c r="C88" s="3" t="s">
        <v>17</v>
      </c>
      <c r="D88" s="3" t="s">
        <v>18</v>
      </c>
      <c r="E88" s="3">
        <v>47035</v>
      </c>
      <c r="F88" s="3">
        <v>480654</v>
      </c>
      <c r="G88" s="3" t="s">
        <v>22</v>
      </c>
      <c r="H88" s="3" t="s">
        <v>26</v>
      </c>
      <c r="I88" s="3">
        <v>514</v>
      </c>
      <c r="J88" s="5" t="s">
        <v>24</v>
      </c>
      <c r="K88" s="3" t="str">
        <f t="shared" si="1"/>
        <v>Audrey Russell</v>
      </c>
    </row>
    <row r="89" spans="1:11" x14ac:dyDescent="0.35">
      <c r="A89" s="4">
        <v>88</v>
      </c>
      <c r="B89" s="3" t="s">
        <v>111</v>
      </c>
      <c r="C89" s="3" t="s">
        <v>11</v>
      </c>
      <c r="D89" s="3" t="s">
        <v>21</v>
      </c>
      <c r="E89" s="3">
        <v>84339</v>
      </c>
      <c r="F89" s="3">
        <v>307378</v>
      </c>
      <c r="G89" s="3" t="s">
        <v>22</v>
      </c>
      <c r="H89" s="3" t="s">
        <v>14</v>
      </c>
      <c r="I89" s="3">
        <v>407</v>
      </c>
      <c r="J89" s="5" t="s">
        <v>24</v>
      </c>
      <c r="K89" s="3" t="str">
        <f t="shared" si="1"/>
        <v>Mrs. Molly Jones MD</v>
      </c>
    </row>
    <row r="90" spans="1:11" x14ac:dyDescent="0.35">
      <c r="A90" s="4">
        <v>89</v>
      </c>
      <c r="B90" s="3" t="s">
        <v>112</v>
      </c>
      <c r="C90" s="3" t="s">
        <v>11</v>
      </c>
      <c r="D90" s="3" t="s">
        <v>12</v>
      </c>
      <c r="E90" s="3">
        <v>56209</v>
      </c>
      <c r="F90" s="3">
        <v>178419</v>
      </c>
      <c r="G90" s="3" t="s">
        <v>22</v>
      </c>
      <c r="H90" s="3" t="s">
        <v>23</v>
      </c>
      <c r="I90" s="3">
        <v>609</v>
      </c>
      <c r="J90" s="5" t="s">
        <v>24</v>
      </c>
      <c r="K90" s="3" t="str">
        <f t="shared" si="1"/>
        <v>Patricia Nielsen</v>
      </c>
    </row>
    <row r="91" spans="1:11" x14ac:dyDescent="0.35">
      <c r="A91" s="4">
        <v>90</v>
      </c>
      <c r="B91" s="3" t="s">
        <v>113</v>
      </c>
      <c r="C91" s="3" t="s">
        <v>17</v>
      </c>
      <c r="D91" s="3" t="s">
        <v>21</v>
      </c>
      <c r="E91" s="3">
        <v>70693</v>
      </c>
      <c r="F91" s="3">
        <v>203386</v>
      </c>
      <c r="G91" s="3" t="s">
        <v>22</v>
      </c>
      <c r="H91" s="3" t="s">
        <v>23</v>
      </c>
      <c r="I91" s="3">
        <v>338</v>
      </c>
      <c r="J91" s="5" t="s">
        <v>15</v>
      </c>
      <c r="K91" s="3" t="str">
        <f t="shared" si="1"/>
        <v>Patricia Nielsen</v>
      </c>
    </row>
    <row r="92" spans="1:11" x14ac:dyDescent="0.35">
      <c r="A92" s="4">
        <v>91</v>
      </c>
      <c r="B92" s="3" t="s">
        <v>114</v>
      </c>
      <c r="C92" s="3" t="s">
        <v>17</v>
      </c>
      <c r="D92" s="3" t="s">
        <v>18</v>
      </c>
      <c r="E92" s="3">
        <v>94953</v>
      </c>
      <c r="F92" s="3">
        <v>455236</v>
      </c>
      <c r="G92" s="3" t="s">
        <v>13</v>
      </c>
      <c r="H92" s="3" t="s">
        <v>19</v>
      </c>
      <c r="I92" s="3">
        <v>784</v>
      </c>
      <c r="J92" s="5" t="s">
        <v>24</v>
      </c>
      <c r="K92" s="3" t="str">
        <f t="shared" si="1"/>
        <v>Dr. Luis Adams</v>
      </c>
    </row>
    <row r="93" spans="1:11" x14ac:dyDescent="0.35">
      <c r="A93" s="4">
        <v>92</v>
      </c>
      <c r="B93" s="3" t="s">
        <v>115</v>
      </c>
      <c r="C93" s="3" t="s">
        <v>17</v>
      </c>
      <c r="D93" s="3" t="s">
        <v>18</v>
      </c>
      <c r="E93" s="3">
        <v>119142</v>
      </c>
      <c r="F93" s="3">
        <v>283594</v>
      </c>
      <c r="G93" s="3" t="s">
        <v>13</v>
      </c>
      <c r="H93" s="3" t="s">
        <v>23</v>
      </c>
      <c r="I93" s="3">
        <v>612</v>
      </c>
      <c r="J93" s="5" t="s">
        <v>15</v>
      </c>
      <c r="K93" s="3" t="str">
        <f t="shared" si="1"/>
        <v>Patricia Nielsen</v>
      </c>
    </row>
    <row r="94" spans="1:11" x14ac:dyDescent="0.35">
      <c r="A94" s="4">
        <v>93</v>
      </c>
      <c r="B94" s="3" t="s">
        <v>116</v>
      </c>
      <c r="C94" s="3" t="s">
        <v>17</v>
      </c>
      <c r="D94" s="3" t="s">
        <v>21</v>
      </c>
      <c r="E94" s="3">
        <v>35399</v>
      </c>
      <c r="F94" s="3">
        <v>375292</v>
      </c>
      <c r="G94" s="3" t="s">
        <v>13</v>
      </c>
      <c r="H94" s="3" t="s">
        <v>23</v>
      </c>
      <c r="I94" s="3">
        <v>301</v>
      </c>
      <c r="J94" s="5" t="s">
        <v>15</v>
      </c>
      <c r="K94" s="3" t="str">
        <f t="shared" si="1"/>
        <v>Patricia Nielsen</v>
      </c>
    </row>
    <row r="95" spans="1:11" x14ac:dyDescent="0.35">
      <c r="A95" s="4">
        <v>94</v>
      </c>
      <c r="B95" s="3" t="s">
        <v>117</v>
      </c>
      <c r="C95" s="3" t="s">
        <v>11</v>
      </c>
      <c r="D95" s="3" t="s">
        <v>12</v>
      </c>
      <c r="E95" s="3">
        <v>99922</v>
      </c>
      <c r="F95" s="3">
        <v>361161</v>
      </c>
      <c r="G95" s="3" t="s">
        <v>13</v>
      </c>
      <c r="H95" s="3" t="s">
        <v>19</v>
      </c>
      <c r="I95" s="3">
        <v>471</v>
      </c>
      <c r="J95" s="5" t="s">
        <v>24</v>
      </c>
      <c r="K95" s="3" t="str">
        <f t="shared" si="1"/>
        <v>Dr. Luis Adams</v>
      </c>
    </row>
    <row r="96" spans="1:11" x14ac:dyDescent="0.35">
      <c r="A96" s="4">
        <v>95</v>
      </c>
      <c r="B96" s="3" t="s">
        <v>118</v>
      </c>
      <c r="C96" s="3" t="s">
        <v>11</v>
      </c>
      <c r="D96" s="3" t="s">
        <v>18</v>
      </c>
      <c r="E96" s="3">
        <v>67224</v>
      </c>
      <c r="F96" s="3">
        <v>139082</v>
      </c>
      <c r="G96" s="3" t="s">
        <v>22</v>
      </c>
      <c r="H96" s="3" t="s">
        <v>26</v>
      </c>
      <c r="I96" s="3">
        <v>507</v>
      </c>
      <c r="J96" s="5" t="s">
        <v>24</v>
      </c>
      <c r="K96" s="3" t="str">
        <f t="shared" si="1"/>
        <v>Audrey Russell</v>
      </c>
    </row>
    <row r="97" spans="1:11" x14ac:dyDescent="0.35">
      <c r="A97" s="4">
        <v>96</v>
      </c>
      <c r="B97" s="3" t="s">
        <v>119</v>
      </c>
      <c r="C97" s="3" t="s">
        <v>11</v>
      </c>
      <c r="D97" s="3" t="s">
        <v>12</v>
      </c>
      <c r="E97" s="3">
        <v>63528</v>
      </c>
      <c r="F97" s="3">
        <v>153607</v>
      </c>
      <c r="G97" s="3" t="s">
        <v>13</v>
      </c>
      <c r="H97" s="3" t="s">
        <v>23</v>
      </c>
      <c r="I97" s="3">
        <v>633</v>
      </c>
      <c r="J97" s="5" t="s">
        <v>32</v>
      </c>
      <c r="K97" s="3" t="str">
        <f t="shared" si="1"/>
        <v>Patricia Nielsen</v>
      </c>
    </row>
    <row r="98" spans="1:11" x14ac:dyDescent="0.35">
      <c r="A98" s="4">
        <v>97</v>
      </c>
      <c r="B98" s="3" t="s">
        <v>120</v>
      </c>
      <c r="C98" s="3" t="s">
        <v>17</v>
      </c>
      <c r="D98" s="3" t="s">
        <v>12</v>
      </c>
      <c r="E98" s="3">
        <v>29258</v>
      </c>
      <c r="F98" s="3">
        <v>171037</v>
      </c>
      <c r="G98" s="3" t="s">
        <v>22</v>
      </c>
      <c r="H98" s="3" t="s">
        <v>26</v>
      </c>
      <c r="I98" s="3">
        <v>706</v>
      </c>
      <c r="J98" s="5" t="s">
        <v>24</v>
      </c>
      <c r="K98" s="3" t="str">
        <f t="shared" si="1"/>
        <v>Audrey Russell</v>
      </c>
    </row>
    <row r="99" spans="1:11" x14ac:dyDescent="0.35">
      <c r="A99" s="4">
        <v>98</v>
      </c>
      <c r="B99" s="3" t="s">
        <v>121</v>
      </c>
      <c r="C99" s="3" t="s">
        <v>11</v>
      </c>
      <c r="D99" s="3" t="s">
        <v>21</v>
      </c>
      <c r="E99" s="3">
        <v>99056</v>
      </c>
      <c r="F99" s="3">
        <v>146347</v>
      </c>
      <c r="G99" s="3" t="s">
        <v>22</v>
      </c>
      <c r="H99" s="3" t="s">
        <v>14</v>
      </c>
      <c r="I99" s="3">
        <v>589</v>
      </c>
      <c r="J99" s="5" t="s">
        <v>15</v>
      </c>
      <c r="K99" s="3" t="str">
        <f t="shared" si="1"/>
        <v>Mrs. Molly Jones MD</v>
      </c>
    </row>
    <row r="100" spans="1:11" x14ac:dyDescent="0.35">
      <c r="A100" s="4">
        <v>99</v>
      </c>
      <c r="B100" s="3" t="s">
        <v>122</v>
      </c>
      <c r="C100" s="3" t="s">
        <v>11</v>
      </c>
      <c r="D100" s="3" t="s">
        <v>18</v>
      </c>
      <c r="E100" s="3">
        <v>96952</v>
      </c>
      <c r="F100" s="3">
        <v>374299</v>
      </c>
      <c r="G100" s="3" t="s">
        <v>13</v>
      </c>
      <c r="H100" s="3" t="s">
        <v>14</v>
      </c>
      <c r="I100" s="3">
        <v>640</v>
      </c>
      <c r="J100" s="5" t="s">
        <v>24</v>
      </c>
      <c r="K100" s="3" t="str">
        <f t="shared" si="1"/>
        <v>Mrs. Molly Jones MD</v>
      </c>
    </row>
    <row r="101" spans="1:11" x14ac:dyDescent="0.35">
      <c r="A101" s="4">
        <v>100</v>
      </c>
      <c r="B101" s="3" t="s">
        <v>123</v>
      </c>
      <c r="C101" s="3" t="s">
        <v>11</v>
      </c>
      <c r="D101" s="3" t="s">
        <v>21</v>
      </c>
      <c r="E101" s="3">
        <v>89395</v>
      </c>
      <c r="F101" s="3">
        <v>191396</v>
      </c>
      <c r="G101" s="3" t="s">
        <v>22</v>
      </c>
      <c r="H101" s="3" t="s">
        <v>23</v>
      </c>
      <c r="I101" s="3">
        <v>325</v>
      </c>
      <c r="J101" s="5" t="s">
        <v>24</v>
      </c>
      <c r="K101" s="3" t="str">
        <f t="shared" si="1"/>
        <v>Patricia Nielsen</v>
      </c>
    </row>
    <row r="102" spans="1:11" x14ac:dyDescent="0.35">
      <c r="A102" s="4">
        <v>101</v>
      </c>
      <c r="B102" s="3" t="s">
        <v>124</v>
      </c>
      <c r="C102" s="3" t="s">
        <v>17</v>
      </c>
      <c r="D102" s="3" t="s">
        <v>12</v>
      </c>
      <c r="E102" s="3">
        <v>70080</v>
      </c>
      <c r="F102" s="3">
        <v>354083</v>
      </c>
      <c r="G102" s="3" t="s">
        <v>13</v>
      </c>
      <c r="H102" s="3" t="s">
        <v>19</v>
      </c>
      <c r="I102" s="3">
        <v>502</v>
      </c>
      <c r="J102" s="5" t="s">
        <v>32</v>
      </c>
      <c r="K102" s="3" t="str">
        <f t="shared" si="1"/>
        <v>Dr. Luis Adams</v>
      </c>
    </row>
    <row r="103" spans="1:11" x14ac:dyDescent="0.35">
      <c r="A103" s="4">
        <v>102</v>
      </c>
      <c r="B103" s="3" t="s">
        <v>125</v>
      </c>
      <c r="C103" s="3" t="s">
        <v>17</v>
      </c>
      <c r="D103" s="3" t="s">
        <v>21</v>
      </c>
      <c r="E103" s="3">
        <v>112994</v>
      </c>
      <c r="F103" s="3">
        <v>499320</v>
      </c>
      <c r="G103" s="3" t="s">
        <v>13</v>
      </c>
      <c r="H103" s="3" t="s">
        <v>23</v>
      </c>
      <c r="I103" s="3">
        <v>344</v>
      </c>
      <c r="J103" s="5" t="s">
        <v>24</v>
      </c>
      <c r="K103" s="3" t="str">
        <f t="shared" si="1"/>
        <v>Patricia Nielsen</v>
      </c>
    </row>
    <row r="104" spans="1:11" x14ac:dyDescent="0.35">
      <c r="A104" s="4">
        <v>103</v>
      </c>
      <c r="B104" s="3" t="s">
        <v>126</v>
      </c>
      <c r="C104" s="3" t="s">
        <v>17</v>
      </c>
      <c r="D104" s="3" t="s">
        <v>12</v>
      </c>
      <c r="E104" s="3">
        <v>42068</v>
      </c>
      <c r="F104" s="3">
        <v>338428</v>
      </c>
      <c r="G104" s="3" t="s">
        <v>13</v>
      </c>
      <c r="H104" s="3" t="s">
        <v>14</v>
      </c>
      <c r="I104" s="3">
        <v>499</v>
      </c>
      <c r="J104" s="5" t="s">
        <v>32</v>
      </c>
      <c r="K104" s="3" t="str">
        <f t="shared" si="1"/>
        <v>Mrs. Molly Jones MD</v>
      </c>
    </row>
    <row r="105" spans="1:11" x14ac:dyDescent="0.35">
      <c r="A105" s="4">
        <v>104</v>
      </c>
      <c r="B105" s="3" t="s">
        <v>127</v>
      </c>
      <c r="C105" s="3" t="s">
        <v>17</v>
      </c>
      <c r="D105" s="3" t="s">
        <v>21</v>
      </c>
      <c r="E105" s="3">
        <v>98316</v>
      </c>
      <c r="F105" s="3">
        <v>242711</v>
      </c>
      <c r="G105" s="3" t="s">
        <v>22</v>
      </c>
      <c r="H105" s="3" t="s">
        <v>26</v>
      </c>
      <c r="I105" s="3">
        <v>611</v>
      </c>
      <c r="J105" s="5" t="s">
        <v>32</v>
      </c>
      <c r="K105" s="3" t="str">
        <f t="shared" si="1"/>
        <v>Audrey Russell</v>
      </c>
    </row>
    <row r="106" spans="1:11" x14ac:dyDescent="0.35">
      <c r="A106" s="4">
        <v>105</v>
      </c>
      <c r="B106" s="3" t="s">
        <v>128</v>
      </c>
      <c r="C106" s="3" t="s">
        <v>11</v>
      </c>
      <c r="D106" s="3" t="s">
        <v>12</v>
      </c>
      <c r="E106" s="3">
        <v>94950</v>
      </c>
      <c r="F106" s="3">
        <v>364808</v>
      </c>
      <c r="G106" s="3" t="s">
        <v>22</v>
      </c>
      <c r="H106" s="3" t="s">
        <v>26</v>
      </c>
      <c r="I106" s="3">
        <v>677</v>
      </c>
      <c r="J106" s="5" t="s">
        <v>24</v>
      </c>
      <c r="K106" s="3" t="str">
        <f t="shared" si="1"/>
        <v>Audrey Russell</v>
      </c>
    </row>
    <row r="107" spans="1:11" x14ac:dyDescent="0.35">
      <c r="A107" s="4">
        <v>106</v>
      </c>
      <c r="B107" s="3" t="s">
        <v>129</v>
      </c>
      <c r="C107" s="3" t="s">
        <v>17</v>
      </c>
      <c r="D107" s="3" t="s">
        <v>12</v>
      </c>
      <c r="E107" s="3">
        <v>42773</v>
      </c>
      <c r="F107" s="3">
        <v>333566</v>
      </c>
      <c r="G107" s="3" t="s">
        <v>13</v>
      </c>
      <c r="H107" s="3" t="s">
        <v>19</v>
      </c>
      <c r="I107" s="3">
        <v>371</v>
      </c>
      <c r="J107" s="5" t="s">
        <v>24</v>
      </c>
      <c r="K107" s="3" t="str">
        <f t="shared" si="1"/>
        <v>Dr. Luis Adams</v>
      </c>
    </row>
    <row r="108" spans="1:11" x14ac:dyDescent="0.35">
      <c r="A108" s="4">
        <v>107</v>
      </c>
      <c r="B108" s="3" t="s">
        <v>130</v>
      </c>
      <c r="C108" s="3" t="s">
        <v>11</v>
      </c>
      <c r="D108" s="3" t="s">
        <v>18</v>
      </c>
      <c r="E108" s="3">
        <v>75849</v>
      </c>
      <c r="F108" s="3">
        <v>395553</v>
      </c>
      <c r="G108" s="3" t="s">
        <v>13</v>
      </c>
      <c r="H108" s="3" t="s">
        <v>19</v>
      </c>
      <c r="I108" s="3">
        <v>796</v>
      </c>
      <c r="J108" s="5" t="s">
        <v>32</v>
      </c>
      <c r="K108" s="3" t="str">
        <f t="shared" si="1"/>
        <v>Dr. Luis Adams</v>
      </c>
    </row>
    <row r="109" spans="1:11" x14ac:dyDescent="0.35">
      <c r="A109" s="4">
        <v>108</v>
      </c>
      <c r="B109" s="3" t="s">
        <v>131</v>
      </c>
      <c r="C109" s="3" t="s">
        <v>11</v>
      </c>
      <c r="D109" s="3" t="s">
        <v>12</v>
      </c>
      <c r="E109" s="3">
        <v>49024</v>
      </c>
      <c r="F109" s="3">
        <v>80752</v>
      </c>
      <c r="G109" s="3" t="s">
        <v>22</v>
      </c>
      <c r="H109" s="3" t="s">
        <v>14</v>
      </c>
      <c r="I109" s="3">
        <v>565</v>
      </c>
      <c r="J109" s="5" t="s">
        <v>32</v>
      </c>
      <c r="K109" s="3" t="str">
        <f t="shared" si="1"/>
        <v>Mrs. Molly Jones MD</v>
      </c>
    </row>
    <row r="110" spans="1:11" x14ac:dyDescent="0.35">
      <c r="A110" s="4">
        <v>109</v>
      </c>
      <c r="B110" s="3" t="s">
        <v>132</v>
      </c>
      <c r="C110" s="3" t="s">
        <v>17</v>
      </c>
      <c r="D110" s="3" t="s">
        <v>21</v>
      </c>
      <c r="E110" s="3">
        <v>50511</v>
      </c>
      <c r="F110" s="3">
        <v>444288</v>
      </c>
      <c r="G110" s="3" t="s">
        <v>22</v>
      </c>
      <c r="H110" s="3" t="s">
        <v>23</v>
      </c>
      <c r="I110" s="3">
        <v>640</v>
      </c>
      <c r="J110" s="5" t="s">
        <v>32</v>
      </c>
      <c r="K110" s="3" t="str">
        <f t="shared" si="1"/>
        <v>Patricia Nielsen</v>
      </c>
    </row>
    <row r="111" spans="1:11" x14ac:dyDescent="0.35">
      <c r="A111" s="4">
        <v>110</v>
      </c>
      <c r="B111" s="3" t="s">
        <v>133</v>
      </c>
      <c r="C111" s="3" t="s">
        <v>11</v>
      </c>
      <c r="D111" s="3" t="s">
        <v>21</v>
      </c>
      <c r="E111" s="3">
        <v>31365</v>
      </c>
      <c r="F111" s="3">
        <v>394413</v>
      </c>
      <c r="G111" s="3" t="s">
        <v>22</v>
      </c>
      <c r="H111" s="3" t="s">
        <v>26</v>
      </c>
      <c r="I111" s="3">
        <v>433</v>
      </c>
      <c r="J111" s="5" t="s">
        <v>15</v>
      </c>
      <c r="K111" s="3" t="str">
        <f t="shared" si="1"/>
        <v>Audrey Russell</v>
      </c>
    </row>
    <row r="112" spans="1:11" x14ac:dyDescent="0.35">
      <c r="A112" s="4">
        <v>111</v>
      </c>
      <c r="B112" s="3" t="s">
        <v>134</v>
      </c>
      <c r="C112" s="3" t="s">
        <v>11</v>
      </c>
      <c r="D112" s="3" t="s">
        <v>21</v>
      </c>
      <c r="E112" s="3">
        <v>22851</v>
      </c>
      <c r="F112" s="3">
        <v>262281</v>
      </c>
      <c r="G112" s="3" t="s">
        <v>13</v>
      </c>
      <c r="H112" s="3" t="s">
        <v>14</v>
      </c>
      <c r="I112" s="3">
        <v>332</v>
      </c>
      <c r="J112" s="5" t="s">
        <v>15</v>
      </c>
      <c r="K112" s="3" t="str">
        <f t="shared" si="1"/>
        <v>Mrs. Molly Jones MD</v>
      </c>
    </row>
    <row r="113" spans="1:11" x14ac:dyDescent="0.35">
      <c r="A113" s="4">
        <v>112</v>
      </c>
      <c r="B113" s="3" t="s">
        <v>135</v>
      </c>
      <c r="C113" s="3" t="s">
        <v>17</v>
      </c>
      <c r="D113" s="3" t="s">
        <v>18</v>
      </c>
      <c r="E113" s="3">
        <v>73380</v>
      </c>
      <c r="F113" s="3">
        <v>121280</v>
      </c>
      <c r="G113" s="3" t="s">
        <v>22</v>
      </c>
      <c r="H113" s="3" t="s">
        <v>23</v>
      </c>
      <c r="I113" s="3">
        <v>378</v>
      </c>
      <c r="J113" s="5" t="s">
        <v>32</v>
      </c>
      <c r="K113" s="3" t="str">
        <f t="shared" si="1"/>
        <v>Patricia Nielsen</v>
      </c>
    </row>
    <row r="114" spans="1:11" x14ac:dyDescent="0.35">
      <c r="A114" s="4">
        <v>113</v>
      </c>
      <c r="B114" s="3" t="s">
        <v>136</v>
      </c>
      <c r="C114" s="3" t="s">
        <v>17</v>
      </c>
      <c r="D114" s="3" t="s">
        <v>21</v>
      </c>
      <c r="E114" s="3">
        <v>89249</v>
      </c>
      <c r="F114" s="3">
        <v>498359</v>
      </c>
      <c r="G114" s="3" t="s">
        <v>22</v>
      </c>
      <c r="H114" s="3" t="s">
        <v>14</v>
      </c>
      <c r="I114" s="3">
        <v>505</v>
      </c>
      <c r="J114" s="5" t="s">
        <v>15</v>
      </c>
      <c r="K114" s="3" t="str">
        <f t="shared" si="1"/>
        <v>Mrs. Molly Jones MD</v>
      </c>
    </row>
    <row r="115" spans="1:11" x14ac:dyDescent="0.35">
      <c r="A115" s="4">
        <v>114</v>
      </c>
      <c r="B115" s="3" t="s">
        <v>137</v>
      </c>
      <c r="C115" s="3" t="s">
        <v>11</v>
      </c>
      <c r="D115" s="3" t="s">
        <v>21</v>
      </c>
      <c r="E115" s="3">
        <v>98770</v>
      </c>
      <c r="F115" s="3">
        <v>64975</v>
      </c>
      <c r="G115" s="3" t="s">
        <v>22</v>
      </c>
      <c r="H115" s="3" t="s">
        <v>19</v>
      </c>
      <c r="I115" s="3">
        <v>469</v>
      </c>
      <c r="J115" s="5" t="s">
        <v>24</v>
      </c>
      <c r="K115" s="3" t="str">
        <f t="shared" si="1"/>
        <v>Dr. Luis Adams</v>
      </c>
    </row>
    <row r="116" spans="1:11" x14ac:dyDescent="0.35">
      <c r="A116" s="4">
        <v>115</v>
      </c>
      <c r="B116" s="3" t="s">
        <v>138</v>
      </c>
      <c r="C116" s="3" t="s">
        <v>17</v>
      </c>
      <c r="D116" s="3" t="s">
        <v>12</v>
      </c>
      <c r="E116" s="3">
        <v>40085</v>
      </c>
      <c r="F116" s="3">
        <v>103487</v>
      </c>
      <c r="G116" s="3" t="s">
        <v>22</v>
      </c>
      <c r="H116" s="3" t="s">
        <v>23</v>
      </c>
      <c r="I116" s="3">
        <v>879</v>
      </c>
      <c r="J116" s="5" t="s">
        <v>32</v>
      </c>
      <c r="K116" s="3" t="str">
        <f t="shared" si="1"/>
        <v>Patricia Nielsen</v>
      </c>
    </row>
    <row r="117" spans="1:11" x14ac:dyDescent="0.35">
      <c r="A117" s="4">
        <v>116</v>
      </c>
      <c r="B117" s="3" t="s">
        <v>139</v>
      </c>
      <c r="C117" s="3" t="s">
        <v>17</v>
      </c>
      <c r="D117" s="3" t="s">
        <v>18</v>
      </c>
      <c r="E117" s="3">
        <v>82258</v>
      </c>
      <c r="F117" s="3">
        <v>253280</v>
      </c>
      <c r="G117" s="3" t="s">
        <v>22</v>
      </c>
      <c r="H117" s="3" t="s">
        <v>14</v>
      </c>
      <c r="I117" s="3">
        <v>468</v>
      </c>
      <c r="J117" s="5" t="s">
        <v>24</v>
      </c>
      <c r="K117" s="3" t="str">
        <f t="shared" si="1"/>
        <v>Mrs. Molly Jones MD</v>
      </c>
    </row>
    <row r="118" spans="1:11" x14ac:dyDescent="0.35">
      <c r="A118" s="4">
        <v>117</v>
      </c>
      <c r="B118" s="3" t="s">
        <v>140</v>
      </c>
      <c r="C118" s="3" t="s">
        <v>11</v>
      </c>
      <c r="D118" s="3" t="s">
        <v>12</v>
      </c>
      <c r="E118" s="3">
        <v>109699</v>
      </c>
      <c r="F118" s="3">
        <v>197706</v>
      </c>
      <c r="G118" s="3" t="s">
        <v>13</v>
      </c>
      <c r="H118" s="3" t="s">
        <v>19</v>
      </c>
      <c r="I118" s="3">
        <v>523</v>
      </c>
      <c r="J118" s="5" t="s">
        <v>32</v>
      </c>
      <c r="K118" s="3" t="str">
        <f t="shared" si="1"/>
        <v>Dr. Luis Adams</v>
      </c>
    </row>
    <row r="119" spans="1:11" x14ac:dyDescent="0.35">
      <c r="A119" s="4">
        <v>118</v>
      </c>
      <c r="B119" s="3" t="s">
        <v>141</v>
      </c>
      <c r="C119" s="3" t="s">
        <v>11</v>
      </c>
      <c r="D119" s="3" t="s">
        <v>18</v>
      </c>
      <c r="E119" s="3">
        <v>64608</v>
      </c>
      <c r="F119" s="3">
        <v>71022</v>
      </c>
      <c r="G119" s="3" t="s">
        <v>22</v>
      </c>
      <c r="H119" s="3" t="s">
        <v>26</v>
      </c>
      <c r="I119" s="3">
        <v>420</v>
      </c>
      <c r="J119" s="5" t="s">
        <v>24</v>
      </c>
      <c r="K119" s="3" t="str">
        <f t="shared" si="1"/>
        <v>Audrey Russell</v>
      </c>
    </row>
    <row r="120" spans="1:11" x14ac:dyDescent="0.35">
      <c r="A120" s="4">
        <v>119</v>
      </c>
      <c r="B120" s="3" t="s">
        <v>142</v>
      </c>
      <c r="C120" s="3" t="s">
        <v>11</v>
      </c>
      <c r="D120" s="3" t="s">
        <v>21</v>
      </c>
      <c r="E120" s="3">
        <v>112187</v>
      </c>
      <c r="F120" s="3">
        <v>488918</v>
      </c>
      <c r="G120" s="3" t="s">
        <v>13</v>
      </c>
      <c r="H120" s="3" t="s">
        <v>19</v>
      </c>
      <c r="I120" s="3">
        <v>658</v>
      </c>
      <c r="J120" s="5" t="s">
        <v>32</v>
      </c>
      <c r="K120" s="3" t="str">
        <f t="shared" si="1"/>
        <v>Dr. Luis Adams</v>
      </c>
    </row>
    <row r="121" spans="1:11" x14ac:dyDescent="0.35">
      <c r="A121" s="4">
        <v>120</v>
      </c>
      <c r="B121" s="3" t="s">
        <v>143</v>
      </c>
      <c r="C121" s="3" t="s">
        <v>11</v>
      </c>
      <c r="D121" s="3" t="s">
        <v>18</v>
      </c>
      <c r="E121" s="3">
        <v>41725</v>
      </c>
      <c r="F121" s="3">
        <v>92469</v>
      </c>
      <c r="G121" s="3" t="s">
        <v>13</v>
      </c>
      <c r="H121" s="3" t="s">
        <v>19</v>
      </c>
      <c r="I121" s="3">
        <v>403</v>
      </c>
      <c r="J121" s="5" t="s">
        <v>15</v>
      </c>
      <c r="K121" s="3" t="str">
        <f t="shared" si="1"/>
        <v>Dr. Luis Adams</v>
      </c>
    </row>
    <row r="122" spans="1:11" x14ac:dyDescent="0.35">
      <c r="A122" s="4">
        <v>121</v>
      </c>
      <c r="B122" s="3" t="s">
        <v>144</v>
      </c>
      <c r="C122" s="3" t="s">
        <v>11</v>
      </c>
      <c r="D122" s="3" t="s">
        <v>12</v>
      </c>
      <c r="E122" s="3">
        <v>85909</v>
      </c>
      <c r="F122" s="3">
        <v>313335</v>
      </c>
      <c r="G122" s="3" t="s">
        <v>13</v>
      </c>
      <c r="H122" s="3" t="s">
        <v>23</v>
      </c>
      <c r="I122" s="3">
        <v>692</v>
      </c>
      <c r="J122" s="5" t="s">
        <v>32</v>
      </c>
      <c r="K122" s="3" t="str">
        <f t="shared" si="1"/>
        <v>Patricia Nielsen</v>
      </c>
    </row>
    <row r="123" spans="1:11" x14ac:dyDescent="0.35">
      <c r="A123" s="4">
        <v>122</v>
      </c>
      <c r="B123" s="3" t="s">
        <v>145</v>
      </c>
      <c r="C123" s="3" t="s">
        <v>17</v>
      </c>
      <c r="D123" s="3" t="s">
        <v>18</v>
      </c>
      <c r="E123" s="3">
        <v>116314</v>
      </c>
      <c r="F123" s="3">
        <v>249906</v>
      </c>
      <c r="G123" s="3" t="s">
        <v>22</v>
      </c>
      <c r="H123" s="3" t="s">
        <v>19</v>
      </c>
      <c r="I123" s="3">
        <v>700</v>
      </c>
      <c r="J123" s="5" t="s">
        <v>15</v>
      </c>
      <c r="K123" s="3" t="str">
        <f t="shared" si="1"/>
        <v>Dr. Luis Adams</v>
      </c>
    </row>
    <row r="124" spans="1:11" x14ac:dyDescent="0.35">
      <c r="A124" s="4">
        <v>123</v>
      </c>
      <c r="B124" s="3" t="s">
        <v>146</v>
      </c>
      <c r="C124" s="3" t="s">
        <v>17</v>
      </c>
      <c r="D124" s="3" t="s">
        <v>21</v>
      </c>
      <c r="E124" s="3">
        <v>36648</v>
      </c>
      <c r="F124" s="3">
        <v>372393</v>
      </c>
      <c r="G124" s="3" t="s">
        <v>13</v>
      </c>
      <c r="H124" s="3" t="s">
        <v>19</v>
      </c>
      <c r="I124" s="3">
        <v>847</v>
      </c>
      <c r="J124" s="5" t="s">
        <v>24</v>
      </c>
      <c r="K124" s="3" t="str">
        <f t="shared" si="1"/>
        <v>Dr. Luis Adams</v>
      </c>
    </row>
    <row r="125" spans="1:11" x14ac:dyDescent="0.35">
      <c r="A125" s="4">
        <v>124</v>
      </c>
      <c r="B125" s="3" t="s">
        <v>147</v>
      </c>
      <c r="C125" s="3" t="s">
        <v>17</v>
      </c>
      <c r="D125" s="3" t="s">
        <v>21</v>
      </c>
      <c r="E125" s="3">
        <v>41891</v>
      </c>
      <c r="F125" s="3">
        <v>448671</v>
      </c>
      <c r="G125" s="3" t="s">
        <v>13</v>
      </c>
      <c r="H125" s="3" t="s">
        <v>26</v>
      </c>
      <c r="I125" s="3">
        <v>876</v>
      </c>
      <c r="J125" s="5" t="s">
        <v>15</v>
      </c>
      <c r="K125" s="3" t="str">
        <f t="shared" si="1"/>
        <v>Audrey Russell</v>
      </c>
    </row>
    <row r="126" spans="1:11" x14ac:dyDescent="0.35">
      <c r="A126" s="4">
        <v>125</v>
      </c>
      <c r="B126" s="3" t="s">
        <v>148</v>
      </c>
      <c r="C126" s="3" t="s">
        <v>17</v>
      </c>
      <c r="D126" s="3" t="s">
        <v>18</v>
      </c>
      <c r="E126" s="3">
        <v>115847</v>
      </c>
      <c r="F126" s="3">
        <v>431149</v>
      </c>
      <c r="G126" s="3" t="s">
        <v>13</v>
      </c>
      <c r="H126" s="3" t="s">
        <v>14</v>
      </c>
      <c r="I126" s="3">
        <v>496</v>
      </c>
      <c r="J126" s="5" t="s">
        <v>24</v>
      </c>
      <c r="K126" s="3" t="str">
        <f t="shared" si="1"/>
        <v>Mrs. Molly Jones MD</v>
      </c>
    </row>
    <row r="127" spans="1:11" x14ac:dyDescent="0.35">
      <c r="A127" s="4">
        <v>126</v>
      </c>
      <c r="B127" s="3" t="s">
        <v>149</v>
      </c>
      <c r="C127" s="3" t="s">
        <v>17</v>
      </c>
      <c r="D127" s="3" t="s">
        <v>21</v>
      </c>
      <c r="E127" s="3">
        <v>53589</v>
      </c>
      <c r="F127" s="3">
        <v>206639</v>
      </c>
      <c r="G127" s="3" t="s">
        <v>22</v>
      </c>
      <c r="H127" s="3" t="s">
        <v>23</v>
      </c>
      <c r="I127" s="3">
        <v>665</v>
      </c>
      <c r="J127" s="5" t="s">
        <v>32</v>
      </c>
      <c r="K127" s="3" t="str">
        <f t="shared" si="1"/>
        <v>Patricia Nielsen</v>
      </c>
    </row>
    <row r="128" spans="1:11" x14ac:dyDescent="0.35">
      <c r="A128" s="4">
        <v>127</v>
      </c>
      <c r="B128" s="3" t="s">
        <v>150</v>
      </c>
      <c r="C128" s="3" t="s">
        <v>11</v>
      </c>
      <c r="D128" s="3" t="s">
        <v>18</v>
      </c>
      <c r="E128" s="3">
        <v>79113</v>
      </c>
      <c r="F128" s="3">
        <v>301194</v>
      </c>
      <c r="G128" s="3" t="s">
        <v>22</v>
      </c>
      <c r="H128" s="3" t="s">
        <v>23</v>
      </c>
      <c r="I128" s="3">
        <v>698</v>
      </c>
      <c r="J128" s="5" t="s">
        <v>32</v>
      </c>
      <c r="K128" s="3" t="str">
        <f t="shared" si="1"/>
        <v>Patricia Nielsen</v>
      </c>
    </row>
    <row r="129" spans="1:11" x14ac:dyDescent="0.35">
      <c r="A129" s="4">
        <v>128</v>
      </c>
      <c r="B129" s="3" t="s">
        <v>151</v>
      </c>
      <c r="C129" s="3" t="s">
        <v>17</v>
      </c>
      <c r="D129" s="3" t="s">
        <v>12</v>
      </c>
      <c r="E129" s="3">
        <v>30834</v>
      </c>
      <c r="F129" s="3">
        <v>451940</v>
      </c>
      <c r="G129" s="3" t="s">
        <v>13</v>
      </c>
      <c r="H129" s="3" t="s">
        <v>14</v>
      </c>
      <c r="I129" s="3">
        <v>794</v>
      </c>
      <c r="J129" s="5" t="s">
        <v>32</v>
      </c>
      <c r="K129" s="3" t="str">
        <f t="shared" si="1"/>
        <v>Mrs. Molly Jones MD</v>
      </c>
    </row>
    <row r="130" spans="1:11" x14ac:dyDescent="0.35">
      <c r="A130" s="4">
        <v>129</v>
      </c>
      <c r="B130" s="3" t="s">
        <v>152</v>
      </c>
      <c r="C130" s="3" t="s">
        <v>17</v>
      </c>
      <c r="D130" s="3" t="s">
        <v>18</v>
      </c>
      <c r="E130" s="3">
        <v>72043</v>
      </c>
      <c r="F130" s="3">
        <v>118719</v>
      </c>
      <c r="G130" s="3" t="s">
        <v>22</v>
      </c>
      <c r="H130" s="3" t="s">
        <v>14</v>
      </c>
      <c r="I130" s="3">
        <v>671</v>
      </c>
      <c r="J130" s="5" t="s">
        <v>32</v>
      </c>
      <c r="K130" s="3" t="str">
        <f t="shared" ref="K130:K193" si="2">_xlfn.XLOOKUP(H130,$M$2:$M$5,$N$2:$N$5)</f>
        <v>Mrs. Molly Jones MD</v>
      </c>
    </row>
    <row r="131" spans="1:11" x14ac:dyDescent="0.35">
      <c r="A131" s="4">
        <v>130</v>
      </c>
      <c r="B131" s="3" t="s">
        <v>153</v>
      </c>
      <c r="C131" s="3" t="s">
        <v>17</v>
      </c>
      <c r="D131" s="3" t="s">
        <v>18</v>
      </c>
      <c r="E131" s="3">
        <v>34673</v>
      </c>
      <c r="F131" s="3">
        <v>277943</v>
      </c>
      <c r="G131" s="3" t="s">
        <v>22</v>
      </c>
      <c r="H131" s="3" t="s">
        <v>26</v>
      </c>
      <c r="I131" s="3">
        <v>627</v>
      </c>
      <c r="J131" s="5" t="s">
        <v>24</v>
      </c>
      <c r="K131" s="3" t="str">
        <f t="shared" si="2"/>
        <v>Audrey Russell</v>
      </c>
    </row>
    <row r="132" spans="1:11" x14ac:dyDescent="0.35">
      <c r="A132" s="4">
        <v>131</v>
      </c>
      <c r="B132" s="3" t="s">
        <v>154</v>
      </c>
      <c r="C132" s="3" t="s">
        <v>11</v>
      </c>
      <c r="D132" s="3" t="s">
        <v>21</v>
      </c>
      <c r="E132" s="3">
        <v>95428</v>
      </c>
      <c r="F132" s="3">
        <v>340536</v>
      </c>
      <c r="G132" s="3" t="s">
        <v>22</v>
      </c>
      <c r="H132" s="3" t="s">
        <v>14</v>
      </c>
      <c r="I132" s="3">
        <v>798</v>
      </c>
      <c r="J132" s="5" t="s">
        <v>15</v>
      </c>
      <c r="K132" s="3" t="str">
        <f t="shared" si="2"/>
        <v>Mrs. Molly Jones MD</v>
      </c>
    </row>
    <row r="133" spans="1:11" x14ac:dyDescent="0.35">
      <c r="A133" s="4">
        <v>132</v>
      </c>
      <c r="B133" s="3" t="s">
        <v>155</v>
      </c>
      <c r="C133" s="3" t="s">
        <v>17</v>
      </c>
      <c r="D133" s="3" t="s">
        <v>21</v>
      </c>
      <c r="E133" s="3">
        <v>112234</v>
      </c>
      <c r="F133" s="3">
        <v>39424</v>
      </c>
      <c r="G133" s="3" t="s">
        <v>22</v>
      </c>
      <c r="H133" s="3" t="s">
        <v>19</v>
      </c>
      <c r="I133" s="3">
        <v>723</v>
      </c>
      <c r="J133" s="5" t="s">
        <v>32</v>
      </c>
      <c r="K133" s="3" t="str">
        <f t="shared" si="2"/>
        <v>Dr. Luis Adams</v>
      </c>
    </row>
    <row r="134" spans="1:11" x14ac:dyDescent="0.35">
      <c r="A134" s="4">
        <v>133</v>
      </c>
      <c r="B134" s="3" t="s">
        <v>156</v>
      </c>
      <c r="C134" s="3" t="s">
        <v>11</v>
      </c>
      <c r="D134" s="3" t="s">
        <v>21</v>
      </c>
      <c r="E134" s="3">
        <v>90128</v>
      </c>
      <c r="F134" s="3">
        <v>275061</v>
      </c>
      <c r="G134" s="3" t="s">
        <v>22</v>
      </c>
      <c r="H134" s="3" t="s">
        <v>19</v>
      </c>
      <c r="I134" s="3">
        <v>637</v>
      </c>
      <c r="J134" s="5" t="s">
        <v>15</v>
      </c>
      <c r="K134" s="3" t="str">
        <f t="shared" si="2"/>
        <v>Dr. Luis Adams</v>
      </c>
    </row>
    <row r="135" spans="1:11" x14ac:dyDescent="0.35">
      <c r="A135" s="4">
        <v>134</v>
      </c>
      <c r="B135" s="3" t="s">
        <v>157</v>
      </c>
      <c r="C135" s="3" t="s">
        <v>11</v>
      </c>
      <c r="D135" s="3" t="s">
        <v>21</v>
      </c>
      <c r="E135" s="3">
        <v>41494</v>
      </c>
      <c r="F135" s="3">
        <v>108609</v>
      </c>
      <c r="G135" s="3" t="s">
        <v>13</v>
      </c>
      <c r="H135" s="3" t="s">
        <v>23</v>
      </c>
      <c r="I135" s="3">
        <v>678</v>
      </c>
      <c r="J135" s="5" t="s">
        <v>32</v>
      </c>
      <c r="K135" s="3" t="str">
        <f t="shared" si="2"/>
        <v>Patricia Nielsen</v>
      </c>
    </row>
    <row r="136" spans="1:11" x14ac:dyDescent="0.35">
      <c r="A136" s="4">
        <v>135</v>
      </c>
      <c r="B136" s="3" t="s">
        <v>158</v>
      </c>
      <c r="C136" s="3" t="s">
        <v>11</v>
      </c>
      <c r="D136" s="3" t="s">
        <v>18</v>
      </c>
      <c r="E136" s="3">
        <v>26697</v>
      </c>
      <c r="F136" s="3">
        <v>132887</v>
      </c>
      <c r="G136" s="3" t="s">
        <v>22</v>
      </c>
      <c r="H136" s="3" t="s">
        <v>19</v>
      </c>
      <c r="I136" s="3">
        <v>327</v>
      </c>
      <c r="J136" s="5" t="s">
        <v>32</v>
      </c>
      <c r="K136" s="3" t="str">
        <f t="shared" si="2"/>
        <v>Dr. Luis Adams</v>
      </c>
    </row>
    <row r="137" spans="1:11" x14ac:dyDescent="0.35">
      <c r="A137" s="4">
        <v>136</v>
      </c>
      <c r="B137" s="3" t="s">
        <v>159</v>
      </c>
      <c r="C137" s="3" t="s">
        <v>17</v>
      </c>
      <c r="D137" s="3" t="s">
        <v>18</v>
      </c>
      <c r="E137" s="3">
        <v>57914</v>
      </c>
      <c r="F137" s="3">
        <v>63395</v>
      </c>
      <c r="G137" s="3" t="s">
        <v>13</v>
      </c>
      <c r="H137" s="3" t="s">
        <v>23</v>
      </c>
      <c r="I137" s="3">
        <v>791</v>
      </c>
      <c r="J137" s="5" t="s">
        <v>32</v>
      </c>
      <c r="K137" s="3" t="str">
        <f t="shared" si="2"/>
        <v>Patricia Nielsen</v>
      </c>
    </row>
    <row r="138" spans="1:11" x14ac:dyDescent="0.35">
      <c r="A138" s="4">
        <v>137</v>
      </c>
      <c r="B138" s="3" t="s">
        <v>160</v>
      </c>
      <c r="C138" s="3" t="s">
        <v>11</v>
      </c>
      <c r="D138" s="3" t="s">
        <v>18</v>
      </c>
      <c r="E138" s="3">
        <v>59671</v>
      </c>
      <c r="F138" s="3">
        <v>206485</v>
      </c>
      <c r="G138" s="3" t="s">
        <v>13</v>
      </c>
      <c r="H138" s="3" t="s">
        <v>26</v>
      </c>
      <c r="I138" s="3">
        <v>707</v>
      </c>
      <c r="J138" s="5" t="s">
        <v>24</v>
      </c>
      <c r="K138" s="3" t="str">
        <f t="shared" si="2"/>
        <v>Audrey Russell</v>
      </c>
    </row>
    <row r="139" spans="1:11" x14ac:dyDescent="0.35">
      <c r="A139" s="4">
        <v>138</v>
      </c>
      <c r="B139" s="3" t="s">
        <v>161</v>
      </c>
      <c r="C139" s="3" t="s">
        <v>11</v>
      </c>
      <c r="D139" s="3" t="s">
        <v>12</v>
      </c>
      <c r="E139" s="3">
        <v>59121</v>
      </c>
      <c r="F139" s="3">
        <v>293103</v>
      </c>
      <c r="G139" s="3" t="s">
        <v>13</v>
      </c>
      <c r="H139" s="3" t="s">
        <v>14</v>
      </c>
      <c r="I139" s="3">
        <v>442</v>
      </c>
      <c r="J139" s="5" t="s">
        <v>24</v>
      </c>
      <c r="K139" s="3" t="str">
        <f t="shared" si="2"/>
        <v>Mrs. Molly Jones MD</v>
      </c>
    </row>
    <row r="140" spans="1:11" x14ac:dyDescent="0.35">
      <c r="A140" s="4">
        <v>139</v>
      </c>
      <c r="B140" s="3" t="s">
        <v>162</v>
      </c>
      <c r="C140" s="3" t="s">
        <v>11</v>
      </c>
      <c r="D140" s="3" t="s">
        <v>18</v>
      </c>
      <c r="E140" s="3">
        <v>43662</v>
      </c>
      <c r="F140" s="3">
        <v>273219</v>
      </c>
      <c r="G140" s="3" t="s">
        <v>22</v>
      </c>
      <c r="H140" s="3" t="s">
        <v>19</v>
      </c>
      <c r="I140" s="3">
        <v>563</v>
      </c>
      <c r="J140" s="5" t="s">
        <v>32</v>
      </c>
      <c r="K140" s="3" t="str">
        <f t="shared" si="2"/>
        <v>Dr. Luis Adams</v>
      </c>
    </row>
    <row r="141" spans="1:11" x14ac:dyDescent="0.35">
      <c r="A141" s="4">
        <v>140</v>
      </c>
      <c r="B141" s="3" t="s">
        <v>163</v>
      </c>
      <c r="C141" s="3" t="s">
        <v>17</v>
      </c>
      <c r="D141" s="3" t="s">
        <v>12</v>
      </c>
      <c r="E141" s="3">
        <v>109872</v>
      </c>
      <c r="F141" s="3">
        <v>126381</v>
      </c>
      <c r="G141" s="3" t="s">
        <v>22</v>
      </c>
      <c r="H141" s="3" t="s">
        <v>26</v>
      </c>
      <c r="I141" s="3">
        <v>795</v>
      </c>
      <c r="J141" s="5" t="s">
        <v>32</v>
      </c>
      <c r="K141" s="3" t="str">
        <f t="shared" si="2"/>
        <v>Audrey Russell</v>
      </c>
    </row>
    <row r="142" spans="1:11" x14ac:dyDescent="0.35">
      <c r="A142" s="4">
        <v>141</v>
      </c>
      <c r="B142" s="3" t="s">
        <v>164</v>
      </c>
      <c r="C142" s="3" t="s">
        <v>17</v>
      </c>
      <c r="D142" s="3" t="s">
        <v>12</v>
      </c>
      <c r="E142" s="3">
        <v>100695</v>
      </c>
      <c r="F142" s="3">
        <v>412280</v>
      </c>
      <c r="G142" s="3" t="s">
        <v>13</v>
      </c>
      <c r="H142" s="3" t="s">
        <v>26</v>
      </c>
      <c r="I142" s="3">
        <v>703</v>
      </c>
      <c r="J142" s="5" t="s">
        <v>15</v>
      </c>
      <c r="K142" s="3" t="str">
        <f t="shared" si="2"/>
        <v>Audrey Russell</v>
      </c>
    </row>
    <row r="143" spans="1:11" x14ac:dyDescent="0.35">
      <c r="A143" s="4">
        <v>142</v>
      </c>
      <c r="B143" s="3" t="s">
        <v>165</v>
      </c>
      <c r="C143" s="3" t="s">
        <v>17</v>
      </c>
      <c r="D143" s="3" t="s">
        <v>21</v>
      </c>
      <c r="E143" s="3">
        <v>42924</v>
      </c>
      <c r="F143" s="3">
        <v>194214</v>
      </c>
      <c r="G143" s="3" t="s">
        <v>22</v>
      </c>
      <c r="H143" s="3" t="s">
        <v>14</v>
      </c>
      <c r="I143" s="3">
        <v>768</v>
      </c>
      <c r="J143" s="5" t="s">
        <v>15</v>
      </c>
      <c r="K143" s="3" t="str">
        <f t="shared" si="2"/>
        <v>Mrs. Molly Jones MD</v>
      </c>
    </row>
    <row r="144" spans="1:11" x14ac:dyDescent="0.35">
      <c r="A144" s="4">
        <v>143</v>
      </c>
      <c r="B144" s="3" t="s">
        <v>166</v>
      </c>
      <c r="C144" s="3" t="s">
        <v>11</v>
      </c>
      <c r="D144" s="3" t="s">
        <v>12</v>
      </c>
      <c r="E144" s="3">
        <v>49265</v>
      </c>
      <c r="F144" s="3">
        <v>50421</v>
      </c>
      <c r="G144" s="3" t="s">
        <v>13</v>
      </c>
      <c r="H144" s="3" t="s">
        <v>26</v>
      </c>
      <c r="I144" s="3">
        <v>375</v>
      </c>
      <c r="J144" s="5" t="s">
        <v>24</v>
      </c>
      <c r="K144" s="3" t="str">
        <f t="shared" si="2"/>
        <v>Audrey Russell</v>
      </c>
    </row>
    <row r="145" spans="1:11" x14ac:dyDescent="0.35">
      <c r="A145" s="4">
        <v>144</v>
      </c>
      <c r="B145" s="3" t="s">
        <v>167</v>
      </c>
      <c r="C145" s="3" t="s">
        <v>11</v>
      </c>
      <c r="D145" s="3" t="s">
        <v>12</v>
      </c>
      <c r="E145" s="3">
        <v>44243</v>
      </c>
      <c r="F145" s="3">
        <v>490790</v>
      </c>
      <c r="G145" s="3" t="s">
        <v>13</v>
      </c>
      <c r="H145" s="3" t="s">
        <v>14</v>
      </c>
      <c r="I145" s="3">
        <v>666</v>
      </c>
      <c r="J145" s="5" t="s">
        <v>32</v>
      </c>
      <c r="K145" s="3" t="str">
        <f t="shared" si="2"/>
        <v>Mrs. Molly Jones MD</v>
      </c>
    </row>
    <row r="146" spans="1:11" x14ac:dyDescent="0.35">
      <c r="A146" s="4">
        <v>145</v>
      </c>
      <c r="B146" s="3" t="s">
        <v>168</v>
      </c>
      <c r="C146" s="3" t="s">
        <v>11</v>
      </c>
      <c r="D146" s="3" t="s">
        <v>21</v>
      </c>
      <c r="E146" s="3">
        <v>29369</v>
      </c>
      <c r="F146" s="3">
        <v>140179</v>
      </c>
      <c r="G146" s="3" t="s">
        <v>22</v>
      </c>
      <c r="H146" s="3" t="s">
        <v>19</v>
      </c>
      <c r="I146" s="3">
        <v>815</v>
      </c>
      <c r="J146" s="5" t="s">
        <v>32</v>
      </c>
      <c r="K146" s="3" t="str">
        <f t="shared" si="2"/>
        <v>Dr. Luis Adams</v>
      </c>
    </row>
    <row r="147" spans="1:11" x14ac:dyDescent="0.35">
      <c r="A147" s="4">
        <v>146</v>
      </c>
      <c r="B147" s="3" t="s">
        <v>169</v>
      </c>
      <c r="C147" s="3" t="s">
        <v>11</v>
      </c>
      <c r="D147" s="3" t="s">
        <v>12</v>
      </c>
      <c r="E147" s="3">
        <v>72954</v>
      </c>
      <c r="F147" s="3">
        <v>193772</v>
      </c>
      <c r="G147" s="3" t="s">
        <v>22</v>
      </c>
      <c r="H147" s="3" t="s">
        <v>19</v>
      </c>
      <c r="I147" s="3">
        <v>547</v>
      </c>
      <c r="J147" s="5" t="s">
        <v>24</v>
      </c>
      <c r="K147" s="3" t="str">
        <f t="shared" si="2"/>
        <v>Dr. Luis Adams</v>
      </c>
    </row>
    <row r="148" spans="1:11" x14ac:dyDescent="0.35">
      <c r="A148" s="4">
        <v>147</v>
      </c>
      <c r="B148" s="3" t="s">
        <v>170</v>
      </c>
      <c r="C148" s="3" t="s">
        <v>17</v>
      </c>
      <c r="D148" s="3" t="s">
        <v>12</v>
      </c>
      <c r="E148" s="3">
        <v>22872</v>
      </c>
      <c r="F148" s="3">
        <v>31389</v>
      </c>
      <c r="G148" s="3" t="s">
        <v>22</v>
      </c>
      <c r="H148" s="3" t="s">
        <v>14</v>
      </c>
      <c r="I148" s="3">
        <v>627</v>
      </c>
      <c r="J148" s="5" t="s">
        <v>32</v>
      </c>
      <c r="K148" s="3" t="str">
        <f t="shared" si="2"/>
        <v>Mrs. Molly Jones MD</v>
      </c>
    </row>
    <row r="149" spans="1:11" x14ac:dyDescent="0.35">
      <c r="A149" s="4">
        <v>148</v>
      </c>
      <c r="B149" s="3" t="s">
        <v>171</v>
      </c>
      <c r="C149" s="3" t="s">
        <v>11</v>
      </c>
      <c r="D149" s="3" t="s">
        <v>21</v>
      </c>
      <c r="E149" s="3">
        <v>112279</v>
      </c>
      <c r="F149" s="3">
        <v>146356</v>
      </c>
      <c r="G149" s="3" t="s">
        <v>22</v>
      </c>
      <c r="H149" s="3" t="s">
        <v>26</v>
      </c>
      <c r="I149" s="3">
        <v>833</v>
      </c>
      <c r="J149" s="5" t="s">
        <v>32</v>
      </c>
      <c r="K149" s="3" t="str">
        <f t="shared" si="2"/>
        <v>Audrey Russell</v>
      </c>
    </row>
    <row r="150" spans="1:11" x14ac:dyDescent="0.35">
      <c r="A150" s="4">
        <v>149</v>
      </c>
      <c r="B150" s="3" t="s">
        <v>172</v>
      </c>
      <c r="C150" s="3" t="s">
        <v>17</v>
      </c>
      <c r="D150" s="3" t="s">
        <v>12</v>
      </c>
      <c r="E150" s="3">
        <v>104542</v>
      </c>
      <c r="F150" s="3">
        <v>24205</v>
      </c>
      <c r="G150" s="3" t="s">
        <v>13</v>
      </c>
      <c r="H150" s="3" t="s">
        <v>14</v>
      </c>
      <c r="I150" s="3">
        <v>659</v>
      </c>
      <c r="J150" s="5" t="s">
        <v>15</v>
      </c>
      <c r="K150" s="3" t="str">
        <f t="shared" si="2"/>
        <v>Mrs. Molly Jones MD</v>
      </c>
    </row>
    <row r="151" spans="1:11" x14ac:dyDescent="0.35">
      <c r="A151" s="4">
        <v>150</v>
      </c>
      <c r="B151" s="3" t="s">
        <v>173</v>
      </c>
      <c r="C151" s="3" t="s">
        <v>11</v>
      </c>
      <c r="D151" s="3" t="s">
        <v>18</v>
      </c>
      <c r="E151" s="3">
        <v>102047</v>
      </c>
      <c r="F151" s="3">
        <v>382255</v>
      </c>
      <c r="G151" s="3" t="s">
        <v>13</v>
      </c>
      <c r="H151" s="3" t="s">
        <v>19</v>
      </c>
      <c r="I151" s="3">
        <v>829</v>
      </c>
      <c r="J151" s="5" t="s">
        <v>24</v>
      </c>
      <c r="K151" s="3" t="str">
        <f t="shared" si="2"/>
        <v>Dr. Luis Adams</v>
      </c>
    </row>
    <row r="152" spans="1:11" x14ac:dyDescent="0.35">
      <c r="A152" s="4">
        <v>151</v>
      </c>
      <c r="B152" s="3" t="s">
        <v>174</v>
      </c>
      <c r="C152" s="3" t="s">
        <v>11</v>
      </c>
      <c r="D152" s="3" t="s">
        <v>18</v>
      </c>
      <c r="E152" s="3">
        <v>86344</v>
      </c>
      <c r="F152" s="3">
        <v>60297</v>
      </c>
      <c r="G152" s="3" t="s">
        <v>22</v>
      </c>
      <c r="H152" s="3" t="s">
        <v>19</v>
      </c>
      <c r="I152" s="3">
        <v>613</v>
      </c>
      <c r="J152" s="5" t="s">
        <v>32</v>
      </c>
      <c r="K152" s="3" t="str">
        <f t="shared" si="2"/>
        <v>Dr. Luis Adams</v>
      </c>
    </row>
    <row r="153" spans="1:11" x14ac:dyDescent="0.35">
      <c r="A153" s="4">
        <v>152</v>
      </c>
      <c r="B153" s="3" t="s">
        <v>175</v>
      </c>
      <c r="C153" s="3" t="s">
        <v>17</v>
      </c>
      <c r="D153" s="3" t="s">
        <v>18</v>
      </c>
      <c r="E153" s="3">
        <v>37683</v>
      </c>
      <c r="F153" s="3">
        <v>493894</v>
      </c>
      <c r="G153" s="3" t="s">
        <v>13</v>
      </c>
      <c r="H153" s="3" t="s">
        <v>23</v>
      </c>
      <c r="I153" s="3">
        <v>321</v>
      </c>
      <c r="J153" s="5" t="s">
        <v>32</v>
      </c>
      <c r="K153" s="3" t="str">
        <f t="shared" si="2"/>
        <v>Patricia Nielsen</v>
      </c>
    </row>
    <row r="154" spans="1:11" x14ac:dyDescent="0.35">
      <c r="A154" s="4">
        <v>153</v>
      </c>
      <c r="B154" s="3" t="s">
        <v>176</v>
      </c>
      <c r="C154" s="3" t="s">
        <v>17</v>
      </c>
      <c r="D154" s="3" t="s">
        <v>21</v>
      </c>
      <c r="E154" s="3">
        <v>114436</v>
      </c>
      <c r="F154" s="3">
        <v>203806</v>
      </c>
      <c r="G154" s="3" t="s">
        <v>22</v>
      </c>
      <c r="H154" s="3" t="s">
        <v>14</v>
      </c>
      <c r="I154" s="3">
        <v>537</v>
      </c>
      <c r="J154" s="5" t="s">
        <v>24</v>
      </c>
      <c r="K154" s="3" t="str">
        <f t="shared" si="2"/>
        <v>Mrs. Molly Jones MD</v>
      </c>
    </row>
    <row r="155" spans="1:11" x14ac:dyDescent="0.35">
      <c r="A155" s="4">
        <v>154</v>
      </c>
      <c r="B155" s="3" t="s">
        <v>177</v>
      </c>
      <c r="C155" s="3" t="s">
        <v>17</v>
      </c>
      <c r="D155" s="3" t="s">
        <v>12</v>
      </c>
      <c r="E155" s="3">
        <v>60057</v>
      </c>
      <c r="F155" s="3">
        <v>444971</v>
      </c>
      <c r="G155" s="3" t="s">
        <v>13</v>
      </c>
      <c r="H155" s="3" t="s">
        <v>26</v>
      </c>
      <c r="I155" s="3">
        <v>694</v>
      </c>
      <c r="J155" s="5" t="s">
        <v>32</v>
      </c>
      <c r="K155" s="3" t="str">
        <f t="shared" si="2"/>
        <v>Audrey Russell</v>
      </c>
    </row>
    <row r="156" spans="1:11" x14ac:dyDescent="0.35">
      <c r="A156" s="4">
        <v>155</v>
      </c>
      <c r="B156" s="3" t="s">
        <v>178</v>
      </c>
      <c r="C156" s="3" t="s">
        <v>11</v>
      </c>
      <c r="D156" s="3" t="s">
        <v>12</v>
      </c>
      <c r="E156" s="3">
        <v>106295</v>
      </c>
      <c r="F156" s="3">
        <v>8934</v>
      </c>
      <c r="G156" s="3" t="s">
        <v>22</v>
      </c>
      <c r="H156" s="3" t="s">
        <v>19</v>
      </c>
      <c r="I156" s="3">
        <v>508</v>
      </c>
      <c r="J156" s="5" t="s">
        <v>24</v>
      </c>
      <c r="K156" s="3" t="str">
        <f t="shared" si="2"/>
        <v>Dr. Luis Adams</v>
      </c>
    </row>
    <row r="157" spans="1:11" x14ac:dyDescent="0.35">
      <c r="A157" s="4">
        <v>156</v>
      </c>
      <c r="B157" s="3" t="s">
        <v>179</v>
      </c>
      <c r="C157" s="3" t="s">
        <v>17</v>
      </c>
      <c r="D157" s="3" t="s">
        <v>18</v>
      </c>
      <c r="E157" s="3">
        <v>105365</v>
      </c>
      <c r="F157" s="3">
        <v>130041</v>
      </c>
      <c r="G157" s="3" t="s">
        <v>13</v>
      </c>
      <c r="H157" s="3" t="s">
        <v>14</v>
      </c>
      <c r="I157" s="3">
        <v>510</v>
      </c>
      <c r="J157" s="5" t="s">
        <v>24</v>
      </c>
      <c r="K157" s="3" t="str">
        <f t="shared" si="2"/>
        <v>Mrs. Molly Jones MD</v>
      </c>
    </row>
    <row r="158" spans="1:11" x14ac:dyDescent="0.35">
      <c r="A158" s="4">
        <v>157</v>
      </c>
      <c r="B158" s="3" t="s">
        <v>180</v>
      </c>
      <c r="C158" s="3" t="s">
        <v>17</v>
      </c>
      <c r="D158" s="3" t="s">
        <v>18</v>
      </c>
      <c r="E158" s="3">
        <v>77910</v>
      </c>
      <c r="F158" s="3">
        <v>201706</v>
      </c>
      <c r="G158" s="3" t="s">
        <v>22</v>
      </c>
      <c r="H158" s="3" t="s">
        <v>26</v>
      </c>
      <c r="I158" s="3">
        <v>898</v>
      </c>
      <c r="J158" s="5" t="s">
        <v>15</v>
      </c>
      <c r="K158" s="3" t="str">
        <f t="shared" si="2"/>
        <v>Audrey Russell</v>
      </c>
    </row>
    <row r="159" spans="1:11" x14ac:dyDescent="0.35">
      <c r="A159" s="4">
        <v>158</v>
      </c>
      <c r="B159" s="3" t="s">
        <v>181</v>
      </c>
      <c r="C159" s="3" t="s">
        <v>17</v>
      </c>
      <c r="D159" s="3" t="s">
        <v>21</v>
      </c>
      <c r="E159" s="3">
        <v>28038</v>
      </c>
      <c r="F159" s="3">
        <v>424021</v>
      </c>
      <c r="G159" s="3" t="s">
        <v>22</v>
      </c>
      <c r="H159" s="3" t="s">
        <v>19</v>
      </c>
      <c r="I159" s="3">
        <v>659</v>
      </c>
      <c r="J159" s="5" t="s">
        <v>32</v>
      </c>
      <c r="K159" s="3" t="str">
        <f t="shared" si="2"/>
        <v>Dr. Luis Adams</v>
      </c>
    </row>
    <row r="160" spans="1:11" x14ac:dyDescent="0.35">
      <c r="A160" s="4">
        <v>159</v>
      </c>
      <c r="B160" s="3" t="s">
        <v>182</v>
      </c>
      <c r="C160" s="3" t="s">
        <v>11</v>
      </c>
      <c r="D160" s="3" t="s">
        <v>12</v>
      </c>
      <c r="E160" s="3">
        <v>61218</v>
      </c>
      <c r="F160" s="3">
        <v>6175</v>
      </c>
      <c r="G160" s="3" t="s">
        <v>13</v>
      </c>
      <c r="H160" s="3" t="s">
        <v>14</v>
      </c>
      <c r="I160" s="3">
        <v>321</v>
      </c>
      <c r="J160" s="5" t="s">
        <v>32</v>
      </c>
      <c r="K160" s="3" t="str">
        <f t="shared" si="2"/>
        <v>Mrs. Molly Jones MD</v>
      </c>
    </row>
    <row r="161" spans="1:11" x14ac:dyDescent="0.35">
      <c r="A161" s="4">
        <v>160</v>
      </c>
      <c r="B161" s="3" t="s">
        <v>183</v>
      </c>
      <c r="C161" s="3" t="s">
        <v>17</v>
      </c>
      <c r="D161" s="3" t="s">
        <v>21</v>
      </c>
      <c r="E161" s="3">
        <v>104634</v>
      </c>
      <c r="F161" s="3">
        <v>287012</v>
      </c>
      <c r="G161" s="3" t="s">
        <v>22</v>
      </c>
      <c r="H161" s="3" t="s">
        <v>14</v>
      </c>
      <c r="I161" s="3">
        <v>505</v>
      </c>
      <c r="J161" s="5" t="s">
        <v>15</v>
      </c>
      <c r="K161" s="3" t="str">
        <f t="shared" si="2"/>
        <v>Mrs. Molly Jones MD</v>
      </c>
    </row>
    <row r="162" spans="1:11" x14ac:dyDescent="0.35">
      <c r="A162" s="4">
        <v>161</v>
      </c>
      <c r="B162" s="3" t="s">
        <v>184</v>
      </c>
      <c r="C162" s="3" t="s">
        <v>11</v>
      </c>
      <c r="D162" s="3" t="s">
        <v>12</v>
      </c>
      <c r="E162" s="3">
        <v>23703</v>
      </c>
      <c r="F162" s="3">
        <v>120081</v>
      </c>
      <c r="G162" s="3" t="s">
        <v>13</v>
      </c>
      <c r="H162" s="3" t="s">
        <v>14</v>
      </c>
      <c r="I162" s="3">
        <v>535</v>
      </c>
      <c r="J162" s="5" t="s">
        <v>32</v>
      </c>
      <c r="K162" s="3" t="str">
        <f t="shared" si="2"/>
        <v>Mrs. Molly Jones MD</v>
      </c>
    </row>
    <row r="163" spans="1:11" x14ac:dyDescent="0.35">
      <c r="A163" s="4">
        <v>162</v>
      </c>
      <c r="B163" s="3" t="s">
        <v>185</v>
      </c>
      <c r="C163" s="3" t="s">
        <v>17</v>
      </c>
      <c r="D163" s="3" t="s">
        <v>12</v>
      </c>
      <c r="E163" s="3">
        <v>55402</v>
      </c>
      <c r="F163" s="3">
        <v>258497</v>
      </c>
      <c r="G163" s="3" t="s">
        <v>13</v>
      </c>
      <c r="H163" s="3" t="s">
        <v>19</v>
      </c>
      <c r="I163" s="3">
        <v>879</v>
      </c>
      <c r="J163" s="5" t="s">
        <v>32</v>
      </c>
      <c r="K163" s="3" t="str">
        <f t="shared" si="2"/>
        <v>Dr. Luis Adams</v>
      </c>
    </row>
    <row r="164" spans="1:11" x14ac:dyDescent="0.35">
      <c r="A164" s="4">
        <v>163</v>
      </c>
      <c r="B164" s="3" t="s">
        <v>186</v>
      </c>
      <c r="C164" s="3" t="s">
        <v>11</v>
      </c>
      <c r="D164" s="3" t="s">
        <v>21</v>
      </c>
      <c r="E164" s="3">
        <v>50312</v>
      </c>
      <c r="F164" s="3">
        <v>142752</v>
      </c>
      <c r="G164" s="3" t="s">
        <v>22</v>
      </c>
      <c r="H164" s="3" t="s">
        <v>26</v>
      </c>
      <c r="I164" s="3">
        <v>647</v>
      </c>
      <c r="J164" s="5" t="s">
        <v>32</v>
      </c>
      <c r="K164" s="3" t="str">
        <f t="shared" si="2"/>
        <v>Audrey Russell</v>
      </c>
    </row>
    <row r="165" spans="1:11" x14ac:dyDescent="0.35">
      <c r="A165" s="4">
        <v>164</v>
      </c>
      <c r="B165" s="3" t="s">
        <v>187</v>
      </c>
      <c r="C165" s="3" t="s">
        <v>17</v>
      </c>
      <c r="D165" s="3" t="s">
        <v>18</v>
      </c>
      <c r="E165" s="3">
        <v>106443</v>
      </c>
      <c r="F165" s="3">
        <v>343996</v>
      </c>
      <c r="G165" s="3" t="s">
        <v>22</v>
      </c>
      <c r="H165" s="3" t="s">
        <v>23</v>
      </c>
      <c r="I165" s="3">
        <v>407</v>
      </c>
      <c r="J165" s="5" t="s">
        <v>15</v>
      </c>
      <c r="K165" s="3" t="str">
        <f t="shared" si="2"/>
        <v>Patricia Nielsen</v>
      </c>
    </row>
    <row r="166" spans="1:11" x14ac:dyDescent="0.35">
      <c r="A166" s="4">
        <v>165</v>
      </c>
      <c r="B166" s="3" t="s">
        <v>188</v>
      </c>
      <c r="C166" s="3" t="s">
        <v>11</v>
      </c>
      <c r="D166" s="3" t="s">
        <v>18</v>
      </c>
      <c r="E166" s="3">
        <v>26569</v>
      </c>
      <c r="F166" s="3">
        <v>125220</v>
      </c>
      <c r="G166" s="3" t="s">
        <v>13</v>
      </c>
      <c r="H166" s="3" t="s">
        <v>23</v>
      </c>
      <c r="I166" s="3">
        <v>712</v>
      </c>
      <c r="J166" s="5" t="s">
        <v>15</v>
      </c>
      <c r="K166" s="3" t="str">
        <f t="shared" si="2"/>
        <v>Patricia Nielsen</v>
      </c>
    </row>
    <row r="167" spans="1:11" x14ac:dyDescent="0.35">
      <c r="A167" s="4">
        <v>166</v>
      </c>
      <c r="B167" s="3" t="s">
        <v>189</v>
      </c>
      <c r="C167" s="3" t="s">
        <v>11</v>
      </c>
      <c r="D167" s="3" t="s">
        <v>18</v>
      </c>
      <c r="E167" s="3">
        <v>45329</v>
      </c>
      <c r="F167" s="3">
        <v>135345</v>
      </c>
      <c r="G167" s="3" t="s">
        <v>22</v>
      </c>
      <c r="H167" s="3" t="s">
        <v>19</v>
      </c>
      <c r="I167" s="3">
        <v>694</v>
      </c>
      <c r="J167" s="5" t="s">
        <v>32</v>
      </c>
      <c r="K167" s="3" t="str">
        <f t="shared" si="2"/>
        <v>Dr. Luis Adams</v>
      </c>
    </row>
    <row r="168" spans="1:11" x14ac:dyDescent="0.35">
      <c r="A168" s="4">
        <v>167</v>
      </c>
      <c r="B168" s="3" t="s">
        <v>190</v>
      </c>
      <c r="C168" s="3" t="s">
        <v>11</v>
      </c>
      <c r="D168" s="3" t="s">
        <v>18</v>
      </c>
      <c r="E168" s="3">
        <v>58084</v>
      </c>
      <c r="F168" s="3">
        <v>478617</v>
      </c>
      <c r="G168" s="3" t="s">
        <v>13</v>
      </c>
      <c r="H168" s="3" t="s">
        <v>19</v>
      </c>
      <c r="I168" s="3">
        <v>445</v>
      </c>
      <c r="J168" s="5" t="s">
        <v>24</v>
      </c>
      <c r="K168" s="3" t="str">
        <f t="shared" si="2"/>
        <v>Dr. Luis Adams</v>
      </c>
    </row>
    <row r="169" spans="1:11" x14ac:dyDescent="0.35">
      <c r="A169" s="4">
        <v>168</v>
      </c>
      <c r="B169" s="3" t="s">
        <v>191</v>
      </c>
      <c r="C169" s="3" t="s">
        <v>11</v>
      </c>
      <c r="D169" s="3" t="s">
        <v>18</v>
      </c>
      <c r="E169" s="3">
        <v>48825</v>
      </c>
      <c r="F169" s="3">
        <v>353104</v>
      </c>
      <c r="G169" s="3" t="s">
        <v>13</v>
      </c>
      <c r="H169" s="3" t="s">
        <v>26</v>
      </c>
      <c r="I169" s="3">
        <v>455</v>
      </c>
      <c r="J169" s="5" t="s">
        <v>32</v>
      </c>
      <c r="K169" s="3" t="str">
        <f t="shared" si="2"/>
        <v>Audrey Russell</v>
      </c>
    </row>
    <row r="170" spans="1:11" x14ac:dyDescent="0.35">
      <c r="A170" s="4">
        <v>169</v>
      </c>
      <c r="B170" s="3" t="s">
        <v>192</v>
      </c>
      <c r="C170" s="3" t="s">
        <v>11</v>
      </c>
      <c r="D170" s="3" t="s">
        <v>21</v>
      </c>
      <c r="E170" s="3">
        <v>47912</v>
      </c>
      <c r="F170" s="3">
        <v>216990</v>
      </c>
      <c r="G170" s="3" t="s">
        <v>22</v>
      </c>
      <c r="H170" s="3" t="s">
        <v>19</v>
      </c>
      <c r="I170" s="3">
        <v>746</v>
      </c>
      <c r="J170" s="5" t="s">
        <v>32</v>
      </c>
      <c r="K170" s="3" t="str">
        <f t="shared" si="2"/>
        <v>Dr. Luis Adams</v>
      </c>
    </row>
    <row r="171" spans="1:11" x14ac:dyDescent="0.35">
      <c r="A171" s="4">
        <v>170</v>
      </c>
      <c r="B171" s="3" t="s">
        <v>193</v>
      </c>
      <c r="C171" s="3" t="s">
        <v>17</v>
      </c>
      <c r="D171" s="3" t="s">
        <v>12</v>
      </c>
      <c r="E171" s="3">
        <v>100468</v>
      </c>
      <c r="F171" s="3">
        <v>155641</v>
      </c>
      <c r="G171" s="3" t="s">
        <v>13</v>
      </c>
      <c r="H171" s="3" t="s">
        <v>23</v>
      </c>
      <c r="I171" s="3">
        <v>485</v>
      </c>
      <c r="J171" s="5" t="s">
        <v>15</v>
      </c>
      <c r="K171" s="3" t="str">
        <f t="shared" si="2"/>
        <v>Patricia Nielsen</v>
      </c>
    </row>
    <row r="172" spans="1:11" x14ac:dyDescent="0.35">
      <c r="A172" s="4">
        <v>171</v>
      </c>
      <c r="B172" s="3" t="s">
        <v>194</v>
      </c>
      <c r="C172" s="3" t="s">
        <v>17</v>
      </c>
      <c r="D172" s="3" t="s">
        <v>18</v>
      </c>
      <c r="E172" s="3">
        <v>25207</v>
      </c>
      <c r="F172" s="3">
        <v>342110</v>
      </c>
      <c r="G172" s="3" t="s">
        <v>22</v>
      </c>
      <c r="H172" s="3" t="s">
        <v>23</v>
      </c>
      <c r="I172" s="3">
        <v>897</v>
      </c>
      <c r="J172" s="5" t="s">
        <v>24</v>
      </c>
      <c r="K172" s="3" t="str">
        <f t="shared" si="2"/>
        <v>Patricia Nielsen</v>
      </c>
    </row>
    <row r="173" spans="1:11" x14ac:dyDescent="0.35">
      <c r="A173" s="4">
        <v>172</v>
      </c>
      <c r="B173" s="3" t="s">
        <v>195</v>
      </c>
      <c r="C173" s="3" t="s">
        <v>11</v>
      </c>
      <c r="D173" s="3" t="s">
        <v>18</v>
      </c>
      <c r="E173" s="3">
        <v>45227</v>
      </c>
      <c r="F173" s="3">
        <v>106360</v>
      </c>
      <c r="G173" s="3" t="s">
        <v>13</v>
      </c>
      <c r="H173" s="3" t="s">
        <v>19</v>
      </c>
      <c r="I173" s="3">
        <v>626</v>
      </c>
      <c r="J173" s="5" t="s">
        <v>24</v>
      </c>
      <c r="K173" s="3" t="str">
        <f t="shared" si="2"/>
        <v>Dr. Luis Adams</v>
      </c>
    </row>
    <row r="174" spans="1:11" x14ac:dyDescent="0.35">
      <c r="A174" s="4">
        <v>173</v>
      </c>
      <c r="B174" s="3" t="s">
        <v>196</v>
      </c>
      <c r="C174" s="3" t="s">
        <v>11</v>
      </c>
      <c r="D174" s="3" t="s">
        <v>12</v>
      </c>
      <c r="E174" s="3">
        <v>80117</v>
      </c>
      <c r="F174" s="3">
        <v>369059</v>
      </c>
      <c r="G174" s="3" t="s">
        <v>13</v>
      </c>
      <c r="H174" s="3" t="s">
        <v>23</v>
      </c>
      <c r="I174" s="3">
        <v>374</v>
      </c>
      <c r="J174" s="5" t="s">
        <v>15</v>
      </c>
      <c r="K174" s="3" t="str">
        <f t="shared" si="2"/>
        <v>Patricia Nielsen</v>
      </c>
    </row>
    <row r="175" spans="1:11" x14ac:dyDescent="0.35">
      <c r="A175" s="4">
        <v>174</v>
      </c>
      <c r="B175" s="3" t="s">
        <v>197</v>
      </c>
      <c r="C175" s="3" t="s">
        <v>17</v>
      </c>
      <c r="D175" s="3" t="s">
        <v>18</v>
      </c>
      <c r="E175" s="3">
        <v>111006</v>
      </c>
      <c r="F175" s="3">
        <v>478153</v>
      </c>
      <c r="G175" s="3" t="s">
        <v>22</v>
      </c>
      <c r="H175" s="3" t="s">
        <v>14</v>
      </c>
      <c r="I175" s="3">
        <v>899</v>
      </c>
      <c r="J175" s="5" t="s">
        <v>32</v>
      </c>
      <c r="K175" s="3" t="str">
        <f t="shared" si="2"/>
        <v>Mrs. Molly Jones MD</v>
      </c>
    </row>
    <row r="176" spans="1:11" x14ac:dyDescent="0.35">
      <c r="A176" s="4">
        <v>175</v>
      </c>
      <c r="B176" s="3" t="s">
        <v>198</v>
      </c>
      <c r="C176" s="3" t="s">
        <v>11</v>
      </c>
      <c r="D176" s="3" t="s">
        <v>18</v>
      </c>
      <c r="E176" s="3">
        <v>30991</v>
      </c>
      <c r="F176" s="3">
        <v>257573</v>
      </c>
      <c r="G176" s="3" t="s">
        <v>22</v>
      </c>
      <c r="H176" s="3" t="s">
        <v>14</v>
      </c>
      <c r="I176" s="3">
        <v>402</v>
      </c>
      <c r="J176" s="5" t="s">
        <v>15</v>
      </c>
      <c r="K176" s="3" t="str">
        <f t="shared" si="2"/>
        <v>Mrs. Molly Jones MD</v>
      </c>
    </row>
    <row r="177" spans="1:11" x14ac:dyDescent="0.35">
      <c r="A177" s="4">
        <v>176</v>
      </c>
      <c r="B177" s="3" t="s">
        <v>199</v>
      </c>
      <c r="C177" s="3" t="s">
        <v>11</v>
      </c>
      <c r="D177" s="3" t="s">
        <v>21</v>
      </c>
      <c r="E177" s="3">
        <v>112496</v>
      </c>
      <c r="F177" s="3">
        <v>172768</v>
      </c>
      <c r="G177" s="3" t="s">
        <v>22</v>
      </c>
      <c r="H177" s="3" t="s">
        <v>14</v>
      </c>
      <c r="I177" s="3">
        <v>310</v>
      </c>
      <c r="J177" s="5" t="s">
        <v>15</v>
      </c>
      <c r="K177" s="3" t="str">
        <f t="shared" si="2"/>
        <v>Mrs. Molly Jones MD</v>
      </c>
    </row>
    <row r="178" spans="1:11" x14ac:dyDescent="0.35">
      <c r="A178" s="4">
        <v>177</v>
      </c>
      <c r="B178" s="3" t="s">
        <v>200</v>
      </c>
      <c r="C178" s="3" t="s">
        <v>11</v>
      </c>
      <c r="D178" s="3" t="s">
        <v>18</v>
      </c>
      <c r="E178" s="3">
        <v>67413</v>
      </c>
      <c r="F178" s="3">
        <v>436953</v>
      </c>
      <c r="G178" s="3" t="s">
        <v>22</v>
      </c>
      <c r="H178" s="3" t="s">
        <v>23</v>
      </c>
      <c r="I178" s="3">
        <v>443</v>
      </c>
      <c r="J178" s="5" t="s">
        <v>24</v>
      </c>
      <c r="K178" s="3" t="str">
        <f t="shared" si="2"/>
        <v>Patricia Nielsen</v>
      </c>
    </row>
    <row r="179" spans="1:11" x14ac:dyDescent="0.35">
      <c r="A179" s="4">
        <v>178</v>
      </c>
      <c r="B179" s="3" t="s">
        <v>201</v>
      </c>
      <c r="C179" s="3" t="s">
        <v>11</v>
      </c>
      <c r="D179" s="3" t="s">
        <v>12</v>
      </c>
      <c r="E179" s="3">
        <v>41393</v>
      </c>
      <c r="F179" s="3">
        <v>220391</v>
      </c>
      <c r="G179" s="3" t="s">
        <v>13</v>
      </c>
      <c r="H179" s="3" t="s">
        <v>26</v>
      </c>
      <c r="I179" s="3">
        <v>799</v>
      </c>
      <c r="J179" s="5" t="s">
        <v>32</v>
      </c>
      <c r="K179" s="3" t="str">
        <f t="shared" si="2"/>
        <v>Audrey Russell</v>
      </c>
    </row>
    <row r="180" spans="1:11" x14ac:dyDescent="0.35">
      <c r="A180" s="4">
        <v>179</v>
      </c>
      <c r="B180" s="3" t="s">
        <v>202</v>
      </c>
      <c r="C180" s="3" t="s">
        <v>17</v>
      </c>
      <c r="D180" s="3" t="s">
        <v>21</v>
      </c>
      <c r="E180" s="3">
        <v>79249</v>
      </c>
      <c r="F180" s="3">
        <v>486039</v>
      </c>
      <c r="G180" s="3" t="s">
        <v>22</v>
      </c>
      <c r="H180" s="3" t="s">
        <v>23</v>
      </c>
      <c r="I180" s="3">
        <v>860</v>
      </c>
      <c r="J180" s="5" t="s">
        <v>32</v>
      </c>
      <c r="K180" s="3" t="str">
        <f t="shared" si="2"/>
        <v>Patricia Nielsen</v>
      </c>
    </row>
    <row r="181" spans="1:11" x14ac:dyDescent="0.35">
      <c r="A181" s="4">
        <v>180</v>
      </c>
      <c r="B181" s="3" t="s">
        <v>203</v>
      </c>
      <c r="C181" s="3" t="s">
        <v>11</v>
      </c>
      <c r="D181" s="3" t="s">
        <v>12</v>
      </c>
      <c r="E181" s="3">
        <v>70516</v>
      </c>
      <c r="F181" s="3">
        <v>189681</v>
      </c>
      <c r="G181" s="3" t="s">
        <v>22</v>
      </c>
      <c r="H181" s="3" t="s">
        <v>14</v>
      </c>
      <c r="I181" s="3">
        <v>516</v>
      </c>
      <c r="J181" s="5" t="s">
        <v>32</v>
      </c>
      <c r="K181" s="3" t="str">
        <f t="shared" si="2"/>
        <v>Mrs. Molly Jones MD</v>
      </c>
    </row>
    <row r="182" spans="1:11" x14ac:dyDescent="0.35">
      <c r="A182" s="4">
        <v>181</v>
      </c>
      <c r="B182" s="3" t="s">
        <v>204</v>
      </c>
      <c r="C182" s="3" t="s">
        <v>11</v>
      </c>
      <c r="D182" s="3" t="s">
        <v>18</v>
      </c>
      <c r="E182" s="3">
        <v>65600</v>
      </c>
      <c r="F182" s="3">
        <v>438518</v>
      </c>
      <c r="G182" s="3" t="s">
        <v>13</v>
      </c>
      <c r="H182" s="3" t="s">
        <v>26</v>
      </c>
      <c r="I182" s="3">
        <v>774</v>
      </c>
      <c r="J182" s="5" t="s">
        <v>24</v>
      </c>
      <c r="K182" s="3" t="str">
        <f t="shared" si="2"/>
        <v>Audrey Russell</v>
      </c>
    </row>
    <row r="183" spans="1:11" x14ac:dyDescent="0.35">
      <c r="A183" s="4">
        <v>182</v>
      </c>
      <c r="B183" s="3" t="s">
        <v>205</v>
      </c>
      <c r="C183" s="3" t="s">
        <v>11</v>
      </c>
      <c r="D183" s="3" t="s">
        <v>18</v>
      </c>
      <c r="E183" s="3">
        <v>73452</v>
      </c>
      <c r="F183" s="3">
        <v>239534</v>
      </c>
      <c r="G183" s="3" t="s">
        <v>13</v>
      </c>
      <c r="H183" s="3" t="s">
        <v>26</v>
      </c>
      <c r="I183" s="3">
        <v>536</v>
      </c>
      <c r="J183" s="5" t="s">
        <v>32</v>
      </c>
      <c r="K183" s="3" t="str">
        <f t="shared" si="2"/>
        <v>Audrey Russell</v>
      </c>
    </row>
    <row r="184" spans="1:11" x14ac:dyDescent="0.35">
      <c r="A184" s="4">
        <v>183</v>
      </c>
      <c r="B184" s="3" t="s">
        <v>206</v>
      </c>
      <c r="C184" s="3" t="s">
        <v>11</v>
      </c>
      <c r="D184" s="3" t="s">
        <v>12</v>
      </c>
      <c r="E184" s="3">
        <v>37723</v>
      </c>
      <c r="F184" s="3">
        <v>298353</v>
      </c>
      <c r="G184" s="3" t="s">
        <v>13</v>
      </c>
      <c r="H184" s="3" t="s">
        <v>23</v>
      </c>
      <c r="I184" s="3">
        <v>555</v>
      </c>
      <c r="J184" s="5" t="s">
        <v>15</v>
      </c>
      <c r="K184" s="3" t="str">
        <f t="shared" si="2"/>
        <v>Patricia Nielsen</v>
      </c>
    </row>
    <row r="185" spans="1:11" x14ac:dyDescent="0.35">
      <c r="A185" s="4">
        <v>184</v>
      </c>
      <c r="B185" s="3" t="s">
        <v>207</v>
      </c>
      <c r="C185" s="3" t="s">
        <v>11</v>
      </c>
      <c r="D185" s="3" t="s">
        <v>12</v>
      </c>
      <c r="E185" s="3">
        <v>37079</v>
      </c>
      <c r="F185" s="3">
        <v>306327</v>
      </c>
      <c r="G185" s="3" t="s">
        <v>22</v>
      </c>
      <c r="H185" s="3" t="s">
        <v>26</v>
      </c>
      <c r="I185" s="3">
        <v>542</v>
      </c>
      <c r="J185" s="5" t="s">
        <v>24</v>
      </c>
      <c r="K185" s="3" t="str">
        <f t="shared" si="2"/>
        <v>Audrey Russell</v>
      </c>
    </row>
    <row r="186" spans="1:11" x14ac:dyDescent="0.35">
      <c r="A186" s="4">
        <v>185</v>
      </c>
      <c r="B186" s="3" t="s">
        <v>208</v>
      </c>
      <c r="C186" s="3" t="s">
        <v>11</v>
      </c>
      <c r="D186" s="3" t="s">
        <v>21</v>
      </c>
      <c r="E186" s="3">
        <v>64782</v>
      </c>
      <c r="F186" s="3">
        <v>327918</v>
      </c>
      <c r="G186" s="3" t="s">
        <v>13</v>
      </c>
      <c r="H186" s="3" t="s">
        <v>23</v>
      </c>
      <c r="I186" s="3">
        <v>713</v>
      </c>
      <c r="J186" s="5" t="s">
        <v>15</v>
      </c>
      <c r="K186" s="3" t="str">
        <f t="shared" si="2"/>
        <v>Patricia Nielsen</v>
      </c>
    </row>
    <row r="187" spans="1:11" x14ac:dyDescent="0.35">
      <c r="A187" s="4">
        <v>186</v>
      </c>
      <c r="B187" s="3" t="s">
        <v>209</v>
      </c>
      <c r="C187" s="3" t="s">
        <v>17</v>
      </c>
      <c r="D187" s="3" t="s">
        <v>12</v>
      </c>
      <c r="E187" s="3">
        <v>44604</v>
      </c>
      <c r="F187" s="3">
        <v>164872</v>
      </c>
      <c r="G187" s="3" t="s">
        <v>13</v>
      </c>
      <c r="H187" s="3" t="s">
        <v>26</v>
      </c>
      <c r="I187" s="3">
        <v>735</v>
      </c>
      <c r="J187" s="5" t="s">
        <v>24</v>
      </c>
      <c r="K187" s="3" t="str">
        <f t="shared" si="2"/>
        <v>Audrey Russell</v>
      </c>
    </row>
    <row r="188" spans="1:11" x14ac:dyDescent="0.35">
      <c r="A188" s="4">
        <v>187</v>
      </c>
      <c r="B188" s="3" t="s">
        <v>210</v>
      </c>
      <c r="C188" s="3" t="s">
        <v>17</v>
      </c>
      <c r="D188" s="3" t="s">
        <v>21</v>
      </c>
      <c r="E188" s="3">
        <v>78269</v>
      </c>
      <c r="F188" s="3">
        <v>309530</v>
      </c>
      <c r="G188" s="3" t="s">
        <v>13</v>
      </c>
      <c r="H188" s="3" t="s">
        <v>19</v>
      </c>
      <c r="I188" s="3">
        <v>755</v>
      </c>
      <c r="J188" s="5" t="s">
        <v>24</v>
      </c>
      <c r="K188" s="3" t="str">
        <f t="shared" si="2"/>
        <v>Dr. Luis Adams</v>
      </c>
    </row>
    <row r="189" spans="1:11" x14ac:dyDescent="0.35">
      <c r="A189" s="4">
        <v>188</v>
      </c>
      <c r="B189" s="3" t="s">
        <v>211</v>
      </c>
      <c r="C189" s="3" t="s">
        <v>17</v>
      </c>
      <c r="D189" s="3" t="s">
        <v>12</v>
      </c>
      <c r="E189" s="3">
        <v>66120</v>
      </c>
      <c r="F189" s="3">
        <v>245171</v>
      </c>
      <c r="G189" s="3" t="s">
        <v>13</v>
      </c>
      <c r="H189" s="3" t="s">
        <v>14</v>
      </c>
      <c r="I189" s="3">
        <v>857</v>
      </c>
      <c r="J189" s="5" t="s">
        <v>24</v>
      </c>
      <c r="K189" s="3" t="str">
        <f t="shared" si="2"/>
        <v>Mrs. Molly Jones MD</v>
      </c>
    </row>
    <row r="190" spans="1:11" x14ac:dyDescent="0.35">
      <c r="A190" s="4">
        <v>189</v>
      </c>
      <c r="B190" s="3" t="s">
        <v>212</v>
      </c>
      <c r="C190" s="3" t="s">
        <v>17</v>
      </c>
      <c r="D190" s="3" t="s">
        <v>12</v>
      </c>
      <c r="E190" s="3">
        <v>79827</v>
      </c>
      <c r="F190" s="3">
        <v>93134</v>
      </c>
      <c r="G190" s="3" t="s">
        <v>13</v>
      </c>
      <c r="H190" s="3" t="s">
        <v>26</v>
      </c>
      <c r="I190" s="3">
        <v>501</v>
      </c>
      <c r="J190" s="5" t="s">
        <v>32</v>
      </c>
      <c r="K190" s="3" t="str">
        <f t="shared" si="2"/>
        <v>Audrey Russell</v>
      </c>
    </row>
    <row r="191" spans="1:11" x14ac:dyDescent="0.35">
      <c r="A191" s="4">
        <v>190</v>
      </c>
      <c r="B191" s="3" t="s">
        <v>213</v>
      </c>
      <c r="C191" s="3" t="s">
        <v>17</v>
      </c>
      <c r="D191" s="3" t="s">
        <v>12</v>
      </c>
      <c r="E191" s="3">
        <v>61906</v>
      </c>
      <c r="F191" s="3">
        <v>118153</v>
      </c>
      <c r="G191" s="3" t="s">
        <v>13</v>
      </c>
      <c r="H191" s="3" t="s">
        <v>19</v>
      </c>
      <c r="I191" s="3">
        <v>761</v>
      </c>
      <c r="J191" s="5" t="s">
        <v>24</v>
      </c>
      <c r="K191" s="3" t="str">
        <f t="shared" si="2"/>
        <v>Dr. Luis Adams</v>
      </c>
    </row>
    <row r="192" spans="1:11" x14ac:dyDescent="0.35">
      <c r="A192" s="4">
        <v>191</v>
      </c>
      <c r="B192" s="3" t="s">
        <v>214</v>
      </c>
      <c r="C192" s="3" t="s">
        <v>17</v>
      </c>
      <c r="D192" s="3" t="s">
        <v>21</v>
      </c>
      <c r="E192" s="3">
        <v>108534</v>
      </c>
      <c r="F192" s="3">
        <v>462885</v>
      </c>
      <c r="G192" s="3" t="s">
        <v>22</v>
      </c>
      <c r="H192" s="3" t="s">
        <v>26</v>
      </c>
      <c r="I192" s="3">
        <v>636</v>
      </c>
      <c r="J192" s="5" t="s">
        <v>32</v>
      </c>
      <c r="K192" s="3" t="str">
        <f t="shared" si="2"/>
        <v>Audrey Russell</v>
      </c>
    </row>
    <row r="193" spans="1:11" x14ac:dyDescent="0.35">
      <c r="A193" s="4">
        <v>192</v>
      </c>
      <c r="B193" s="3" t="s">
        <v>215</v>
      </c>
      <c r="C193" s="3" t="s">
        <v>11</v>
      </c>
      <c r="D193" s="3" t="s">
        <v>21</v>
      </c>
      <c r="E193" s="3">
        <v>107798</v>
      </c>
      <c r="F193" s="3">
        <v>13097</v>
      </c>
      <c r="G193" s="3" t="s">
        <v>13</v>
      </c>
      <c r="H193" s="3" t="s">
        <v>26</v>
      </c>
      <c r="I193" s="3">
        <v>659</v>
      </c>
      <c r="J193" s="5" t="s">
        <v>24</v>
      </c>
      <c r="K193" s="3" t="str">
        <f t="shared" si="2"/>
        <v>Audrey Russell</v>
      </c>
    </row>
    <row r="194" spans="1:11" x14ac:dyDescent="0.35">
      <c r="A194" s="4">
        <v>193</v>
      </c>
      <c r="B194" s="3" t="s">
        <v>216</v>
      </c>
      <c r="C194" s="3" t="s">
        <v>17</v>
      </c>
      <c r="D194" s="3" t="s">
        <v>21</v>
      </c>
      <c r="E194" s="3">
        <v>116201</v>
      </c>
      <c r="F194" s="3">
        <v>91491</v>
      </c>
      <c r="G194" s="3" t="s">
        <v>13</v>
      </c>
      <c r="H194" s="3" t="s">
        <v>26</v>
      </c>
      <c r="I194" s="3">
        <v>457</v>
      </c>
      <c r="J194" s="5" t="s">
        <v>15</v>
      </c>
      <c r="K194" s="3" t="str">
        <f t="shared" ref="K194:K257" si="3">_xlfn.XLOOKUP(H194,$M$2:$M$5,$N$2:$N$5)</f>
        <v>Audrey Russell</v>
      </c>
    </row>
    <row r="195" spans="1:11" x14ac:dyDescent="0.35">
      <c r="A195" s="4">
        <v>194</v>
      </c>
      <c r="B195" s="3" t="s">
        <v>217</v>
      </c>
      <c r="C195" s="3" t="s">
        <v>17</v>
      </c>
      <c r="D195" s="3" t="s">
        <v>18</v>
      </c>
      <c r="E195" s="3">
        <v>80739</v>
      </c>
      <c r="F195" s="3">
        <v>104285</v>
      </c>
      <c r="G195" s="3" t="s">
        <v>22</v>
      </c>
      <c r="H195" s="3" t="s">
        <v>19</v>
      </c>
      <c r="I195" s="3">
        <v>343</v>
      </c>
      <c r="J195" s="5" t="s">
        <v>24</v>
      </c>
      <c r="K195" s="3" t="str">
        <f t="shared" si="3"/>
        <v>Dr. Luis Adams</v>
      </c>
    </row>
    <row r="196" spans="1:11" x14ac:dyDescent="0.35">
      <c r="A196" s="4">
        <v>195</v>
      </c>
      <c r="B196" s="3" t="s">
        <v>218</v>
      </c>
      <c r="C196" s="3" t="s">
        <v>17</v>
      </c>
      <c r="D196" s="3" t="s">
        <v>12</v>
      </c>
      <c r="E196" s="3">
        <v>93721</v>
      </c>
      <c r="F196" s="3">
        <v>435327</v>
      </c>
      <c r="G196" s="3" t="s">
        <v>13</v>
      </c>
      <c r="H196" s="3" t="s">
        <v>14</v>
      </c>
      <c r="I196" s="3">
        <v>889</v>
      </c>
      <c r="J196" s="5" t="s">
        <v>24</v>
      </c>
      <c r="K196" s="3" t="str">
        <f t="shared" si="3"/>
        <v>Mrs. Molly Jones MD</v>
      </c>
    </row>
    <row r="197" spans="1:11" x14ac:dyDescent="0.35">
      <c r="A197" s="4">
        <v>196</v>
      </c>
      <c r="B197" s="3" t="s">
        <v>219</v>
      </c>
      <c r="C197" s="3" t="s">
        <v>11</v>
      </c>
      <c r="D197" s="3" t="s">
        <v>18</v>
      </c>
      <c r="E197" s="3">
        <v>76667</v>
      </c>
      <c r="F197" s="3">
        <v>110889</v>
      </c>
      <c r="G197" s="3" t="s">
        <v>13</v>
      </c>
      <c r="H197" s="3" t="s">
        <v>19</v>
      </c>
      <c r="I197" s="3">
        <v>376</v>
      </c>
      <c r="J197" s="5" t="s">
        <v>24</v>
      </c>
      <c r="K197" s="3" t="str">
        <f t="shared" si="3"/>
        <v>Dr. Luis Adams</v>
      </c>
    </row>
    <row r="198" spans="1:11" x14ac:dyDescent="0.35">
      <c r="A198" s="4">
        <v>197</v>
      </c>
      <c r="B198" s="3" t="s">
        <v>220</v>
      </c>
      <c r="C198" s="3" t="s">
        <v>17</v>
      </c>
      <c r="D198" s="3" t="s">
        <v>21</v>
      </c>
      <c r="E198" s="3">
        <v>86334</v>
      </c>
      <c r="F198" s="3">
        <v>150974</v>
      </c>
      <c r="G198" s="3" t="s">
        <v>22</v>
      </c>
      <c r="H198" s="3" t="s">
        <v>14</v>
      </c>
      <c r="I198" s="3">
        <v>870</v>
      </c>
      <c r="J198" s="5" t="s">
        <v>15</v>
      </c>
      <c r="K198" s="3" t="str">
        <f t="shared" si="3"/>
        <v>Mrs. Molly Jones MD</v>
      </c>
    </row>
    <row r="199" spans="1:11" x14ac:dyDescent="0.35">
      <c r="A199" s="4">
        <v>198</v>
      </c>
      <c r="B199" s="3" t="s">
        <v>221</v>
      </c>
      <c r="C199" s="3" t="s">
        <v>17</v>
      </c>
      <c r="D199" s="3" t="s">
        <v>21</v>
      </c>
      <c r="E199" s="3">
        <v>69305</v>
      </c>
      <c r="F199" s="3">
        <v>157375</v>
      </c>
      <c r="G199" s="3" t="s">
        <v>13</v>
      </c>
      <c r="H199" s="3" t="s">
        <v>19</v>
      </c>
      <c r="I199" s="3">
        <v>671</v>
      </c>
      <c r="J199" s="5" t="s">
        <v>24</v>
      </c>
      <c r="K199" s="3" t="str">
        <f t="shared" si="3"/>
        <v>Dr. Luis Adams</v>
      </c>
    </row>
    <row r="200" spans="1:11" x14ac:dyDescent="0.35">
      <c r="A200" s="4">
        <v>199</v>
      </c>
      <c r="B200" s="3" t="s">
        <v>222</v>
      </c>
      <c r="C200" s="3" t="s">
        <v>17</v>
      </c>
      <c r="D200" s="3" t="s">
        <v>12</v>
      </c>
      <c r="E200" s="3">
        <v>87083</v>
      </c>
      <c r="F200" s="3">
        <v>14955</v>
      </c>
      <c r="G200" s="3" t="s">
        <v>13</v>
      </c>
      <c r="H200" s="3" t="s">
        <v>26</v>
      </c>
      <c r="I200" s="3">
        <v>407</v>
      </c>
      <c r="J200" s="5" t="s">
        <v>24</v>
      </c>
      <c r="K200" s="3" t="str">
        <f t="shared" si="3"/>
        <v>Audrey Russell</v>
      </c>
    </row>
    <row r="201" spans="1:11" x14ac:dyDescent="0.35">
      <c r="A201" s="4">
        <v>200</v>
      </c>
      <c r="B201" s="3" t="s">
        <v>223</v>
      </c>
      <c r="C201" s="3" t="s">
        <v>17</v>
      </c>
      <c r="D201" s="3" t="s">
        <v>18</v>
      </c>
      <c r="E201" s="3">
        <v>62890</v>
      </c>
      <c r="F201" s="3">
        <v>440361</v>
      </c>
      <c r="G201" s="3" t="s">
        <v>13</v>
      </c>
      <c r="H201" s="3" t="s">
        <v>26</v>
      </c>
      <c r="I201" s="3">
        <v>439</v>
      </c>
      <c r="J201" s="5" t="s">
        <v>15</v>
      </c>
      <c r="K201" s="3" t="str">
        <f t="shared" si="3"/>
        <v>Audrey Russell</v>
      </c>
    </row>
    <row r="202" spans="1:11" x14ac:dyDescent="0.35">
      <c r="A202" s="4">
        <v>201</v>
      </c>
      <c r="B202" s="3" t="s">
        <v>224</v>
      </c>
      <c r="C202" s="3" t="s">
        <v>17</v>
      </c>
      <c r="D202" s="3" t="s">
        <v>21</v>
      </c>
      <c r="E202" s="3">
        <v>103297</v>
      </c>
      <c r="F202" s="3">
        <v>82820</v>
      </c>
      <c r="G202" s="3" t="s">
        <v>13</v>
      </c>
      <c r="H202" s="3" t="s">
        <v>14</v>
      </c>
      <c r="I202" s="3">
        <v>821</v>
      </c>
      <c r="J202" s="5" t="s">
        <v>24</v>
      </c>
      <c r="K202" s="3" t="str">
        <f t="shared" si="3"/>
        <v>Mrs. Molly Jones MD</v>
      </c>
    </row>
    <row r="203" spans="1:11" x14ac:dyDescent="0.35">
      <c r="A203" s="4">
        <v>202</v>
      </c>
      <c r="B203" s="3" t="s">
        <v>225</v>
      </c>
      <c r="C203" s="3" t="s">
        <v>17</v>
      </c>
      <c r="D203" s="3" t="s">
        <v>12</v>
      </c>
      <c r="E203" s="3">
        <v>79959</v>
      </c>
      <c r="F203" s="3">
        <v>314245</v>
      </c>
      <c r="G203" s="3" t="s">
        <v>13</v>
      </c>
      <c r="H203" s="3" t="s">
        <v>23</v>
      </c>
      <c r="I203" s="3">
        <v>374</v>
      </c>
      <c r="J203" s="5" t="s">
        <v>24</v>
      </c>
      <c r="K203" s="3" t="str">
        <f t="shared" si="3"/>
        <v>Patricia Nielsen</v>
      </c>
    </row>
    <row r="204" spans="1:11" x14ac:dyDescent="0.35">
      <c r="A204" s="4">
        <v>203</v>
      </c>
      <c r="B204" s="3" t="s">
        <v>226</v>
      </c>
      <c r="C204" s="3" t="s">
        <v>17</v>
      </c>
      <c r="D204" s="3" t="s">
        <v>18</v>
      </c>
      <c r="E204" s="3">
        <v>82686</v>
      </c>
      <c r="F204" s="3">
        <v>377467</v>
      </c>
      <c r="G204" s="3" t="s">
        <v>22</v>
      </c>
      <c r="H204" s="3" t="s">
        <v>26</v>
      </c>
      <c r="I204" s="3">
        <v>530</v>
      </c>
      <c r="J204" s="5" t="s">
        <v>15</v>
      </c>
      <c r="K204" s="3" t="str">
        <f t="shared" si="3"/>
        <v>Audrey Russell</v>
      </c>
    </row>
    <row r="205" spans="1:11" x14ac:dyDescent="0.35">
      <c r="A205" s="4">
        <v>204</v>
      </c>
      <c r="B205" s="3" t="s">
        <v>227</v>
      </c>
      <c r="C205" s="3" t="s">
        <v>11</v>
      </c>
      <c r="D205" s="3" t="s">
        <v>12</v>
      </c>
      <c r="E205" s="3">
        <v>67749</v>
      </c>
      <c r="F205" s="3">
        <v>163548</v>
      </c>
      <c r="G205" s="3" t="s">
        <v>22</v>
      </c>
      <c r="H205" s="3" t="s">
        <v>19</v>
      </c>
      <c r="I205" s="3">
        <v>341</v>
      </c>
      <c r="J205" s="5" t="s">
        <v>24</v>
      </c>
      <c r="K205" s="3" t="str">
        <f t="shared" si="3"/>
        <v>Dr. Luis Adams</v>
      </c>
    </row>
    <row r="206" spans="1:11" x14ac:dyDescent="0.35">
      <c r="A206" s="4">
        <v>205</v>
      </c>
      <c r="B206" s="3" t="s">
        <v>228</v>
      </c>
      <c r="C206" s="3" t="s">
        <v>17</v>
      </c>
      <c r="D206" s="3" t="s">
        <v>12</v>
      </c>
      <c r="E206" s="3">
        <v>69020</v>
      </c>
      <c r="F206" s="3">
        <v>275082</v>
      </c>
      <c r="G206" s="3" t="s">
        <v>22</v>
      </c>
      <c r="H206" s="3" t="s">
        <v>14</v>
      </c>
      <c r="I206" s="3">
        <v>825</v>
      </c>
      <c r="J206" s="5" t="s">
        <v>15</v>
      </c>
      <c r="K206" s="3" t="str">
        <f t="shared" si="3"/>
        <v>Mrs. Molly Jones MD</v>
      </c>
    </row>
    <row r="207" spans="1:11" x14ac:dyDescent="0.35">
      <c r="A207" s="4">
        <v>206</v>
      </c>
      <c r="B207" s="3" t="s">
        <v>229</v>
      </c>
      <c r="C207" s="3" t="s">
        <v>11</v>
      </c>
      <c r="D207" s="3" t="s">
        <v>18</v>
      </c>
      <c r="E207" s="3">
        <v>46955</v>
      </c>
      <c r="F207" s="3">
        <v>181156</v>
      </c>
      <c r="G207" s="3" t="s">
        <v>22</v>
      </c>
      <c r="H207" s="3" t="s">
        <v>26</v>
      </c>
      <c r="I207" s="3">
        <v>420</v>
      </c>
      <c r="J207" s="5" t="s">
        <v>32</v>
      </c>
      <c r="K207" s="3" t="str">
        <f t="shared" si="3"/>
        <v>Audrey Russell</v>
      </c>
    </row>
    <row r="208" spans="1:11" x14ac:dyDescent="0.35">
      <c r="A208" s="4">
        <v>207</v>
      </c>
      <c r="B208" s="3" t="s">
        <v>230</v>
      </c>
      <c r="C208" s="3" t="s">
        <v>17</v>
      </c>
      <c r="D208" s="3" t="s">
        <v>21</v>
      </c>
      <c r="E208" s="3">
        <v>21543</v>
      </c>
      <c r="F208" s="3">
        <v>223009</v>
      </c>
      <c r="G208" s="3" t="s">
        <v>13</v>
      </c>
      <c r="H208" s="3" t="s">
        <v>26</v>
      </c>
      <c r="I208" s="3">
        <v>714</v>
      </c>
      <c r="J208" s="5" t="s">
        <v>32</v>
      </c>
      <c r="K208" s="3" t="str">
        <f t="shared" si="3"/>
        <v>Audrey Russell</v>
      </c>
    </row>
    <row r="209" spans="1:11" x14ac:dyDescent="0.35">
      <c r="A209" s="4">
        <v>208</v>
      </c>
      <c r="B209" s="3" t="s">
        <v>231</v>
      </c>
      <c r="C209" s="3" t="s">
        <v>17</v>
      </c>
      <c r="D209" s="3" t="s">
        <v>21</v>
      </c>
      <c r="E209" s="3">
        <v>100919</v>
      </c>
      <c r="F209" s="3">
        <v>458773</v>
      </c>
      <c r="G209" s="3" t="s">
        <v>22</v>
      </c>
      <c r="H209" s="3" t="s">
        <v>14</v>
      </c>
      <c r="I209" s="3">
        <v>560</v>
      </c>
      <c r="J209" s="5" t="s">
        <v>32</v>
      </c>
      <c r="K209" s="3" t="str">
        <f t="shared" si="3"/>
        <v>Mrs. Molly Jones MD</v>
      </c>
    </row>
    <row r="210" spans="1:11" x14ac:dyDescent="0.35">
      <c r="A210" s="4">
        <v>209</v>
      </c>
      <c r="B210" s="3" t="s">
        <v>232</v>
      </c>
      <c r="C210" s="3" t="s">
        <v>17</v>
      </c>
      <c r="D210" s="3" t="s">
        <v>21</v>
      </c>
      <c r="E210" s="3">
        <v>116119</v>
      </c>
      <c r="F210" s="3">
        <v>241670</v>
      </c>
      <c r="G210" s="3" t="s">
        <v>13</v>
      </c>
      <c r="H210" s="3" t="s">
        <v>14</v>
      </c>
      <c r="I210" s="3">
        <v>509</v>
      </c>
      <c r="J210" s="5" t="s">
        <v>15</v>
      </c>
      <c r="K210" s="3" t="str">
        <f t="shared" si="3"/>
        <v>Mrs. Molly Jones MD</v>
      </c>
    </row>
    <row r="211" spans="1:11" x14ac:dyDescent="0.35">
      <c r="A211" s="4">
        <v>210</v>
      </c>
      <c r="B211" s="3" t="s">
        <v>233</v>
      </c>
      <c r="C211" s="3" t="s">
        <v>11</v>
      </c>
      <c r="D211" s="3" t="s">
        <v>18</v>
      </c>
      <c r="E211" s="3">
        <v>110967</v>
      </c>
      <c r="F211" s="3">
        <v>455795</v>
      </c>
      <c r="G211" s="3" t="s">
        <v>13</v>
      </c>
      <c r="H211" s="3" t="s">
        <v>14</v>
      </c>
      <c r="I211" s="3">
        <v>715</v>
      </c>
      <c r="J211" s="5" t="s">
        <v>24</v>
      </c>
      <c r="K211" s="3" t="str">
        <f t="shared" si="3"/>
        <v>Mrs. Molly Jones MD</v>
      </c>
    </row>
    <row r="212" spans="1:11" x14ac:dyDescent="0.35">
      <c r="A212" s="4">
        <v>211</v>
      </c>
      <c r="B212" s="3" t="s">
        <v>234</v>
      </c>
      <c r="C212" s="3" t="s">
        <v>17</v>
      </c>
      <c r="D212" s="3" t="s">
        <v>18</v>
      </c>
      <c r="E212" s="3">
        <v>93953</v>
      </c>
      <c r="F212" s="3">
        <v>85140</v>
      </c>
      <c r="G212" s="3" t="s">
        <v>13</v>
      </c>
      <c r="H212" s="3" t="s">
        <v>14</v>
      </c>
      <c r="I212" s="3">
        <v>769</v>
      </c>
      <c r="J212" s="5" t="s">
        <v>32</v>
      </c>
      <c r="K212" s="3" t="str">
        <f t="shared" si="3"/>
        <v>Mrs. Molly Jones MD</v>
      </c>
    </row>
    <row r="213" spans="1:11" x14ac:dyDescent="0.35">
      <c r="A213" s="4">
        <v>212</v>
      </c>
      <c r="B213" s="3" t="s">
        <v>235</v>
      </c>
      <c r="C213" s="3" t="s">
        <v>11</v>
      </c>
      <c r="D213" s="3" t="s">
        <v>18</v>
      </c>
      <c r="E213" s="3">
        <v>99455</v>
      </c>
      <c r="F213" s="3">
        <v>191135</v>
      </c>
      <c r="G213" s="3" t="s">
        <v>22</v>
      </c>
      <c r="H213" s="3" t="s">
        <v>23</v>
      </c>
      <c r="I213" s="3">
        <v>306</v>
      </c>
      <c r="J213" s="5" t="s">
        <v>15</v>
      </c>
      <c r="K213" s="3" t="str">
        <f t="shared" si="3"/>
        <v>Patricia Nielsen</v>
      </c>
    </row>
    <row r="214" spans="1:11" x14ac:dyDescent="0.35">
      <c r="A214" s="4">
        <v>213</v>
      </c>
      <c r="B214" s="3" t="s">
        <v>236</v>
      </c>
      <c r="C214" s="3" t="s">
        <v>17</v>
      </c>
      <c r="D214" s="3" t="s">
        <v>12</v>
      </c>
      <c r="E214" s="3">
        <v>51000</v>
      </c>
      <c r="F214" s="3">
        <v>95057</v>
      </c>
      <c r="G214" s="3" t="s">
        <v>13</v>
      </c>
      <c r="H214" s="3" t="s">
        <v>19</v>
      </c>
      <c r="I214" s="3">
        <v>589</v>
      </c>
      <c r="J214" s="5" t="s">
        <v>32</v>
      </c>
      <c r="K214" s="3" t="str">
        <f t="shared" si="3"/>
        <v>Dr. Luis Adams</v>
      </c>
    </row>
    <row r="215" spans="1:11" x14ac:dyDescent="0.35">
      <c r="A215" s="4">
        <v>214</v>
      </c>
      <c r="B215" s="3" t="s">
        <v>237</v>
      </c>
      <c r="C215" s="3" t="s">
        <v>11</v>
      </c>
      <c r="D215" s="3" t="s">
        <v>12</v>
      </c>
      <c r="E215" s="3">
        <v>47185</v>
      </c>
      <c r="F215" s="3">
        <v>303483</v>
      </c>
      <c r="G215" s="3" t="s">
        <v>22</v>
      </c>
      <c r="H215" s="3" t="s">
        <v>26</v>
      </c>
      <c r="I215" s="3">
        <v>360</v>
      </c>
      <c r="J215" s="5" t="s">
        <v>32</v>
      </c>
      <c r="K215" s="3" t="str">
        <f t="shared" si="3"/>
        <v>Audrey Russell</v>
      </c>
    </row>
    <row r="216" spans="1:11" x14ac:dyDescent="0.35">
      <c r="A216" s="4">
        <v>215</v>
      </c>
      <c r="B216" s="3" t="s">
        <v>238</v>
      </c>
      <c r="C216" s="3" t="s">
        <v>17</v>
      </c>
      <c r="D216" s="3" t="s">
        <v>18</v>
      </c>
      <c r="E216" s="3">
        <v>41953</v>
      </c>
      <c r="F216" s="3">
        <v>460148</v>
      </c>
      <c r="G216" s="3" t="s">
        <v>22</v>
      </c>
      <c r="H216" s="3" t="s">
        <v>26</v>
      </c>
      <c r="I216" s="3">
        <v>846</v>
      </c>
      <c r="J216" s="5" t="s">
        <v>15</v>
      </c>
      <c r="K216" s="3" t="str">
        <f t="shared" si="3"/>
        <v>Audrey Russell</v>
      </c>
    </row>
    <row r="217" spans="1:11" x14ac:dyDescent="0.35">
      <c r="A217" s="4">
        <v>216</v>
      </c>
      <c r="B217" s="3" t="s">
        <v>239</v>
      </c>
      <c r="C217" s="3" t="s">
        <v>17</v>
      </c>
      <c r="D217" s="3" t="s">
        <v>21</v>
      </c>
      <c r="E217" s="3">
        <v>91966</v>
      </c>
      <c r="F217" s="3">
        <v>360962</v>
      </c>
      <c r="G217" s="3" t="s">
        <v>13</v>
      </c>
      <c r="H217" s="3" t="s">
        <v>26</v>
      </c>
      <c r="I217" s="3">
        <v>896</v>
      </c>
      <c r="J217" s="5" t="s">
        <v>15</v>
      </c>
      <c r="K217" s="3" t="str">
        <f t="shared" si="3"/>
        <v>Audrey Russell</v>
      </c>
    </row>
    <row r="218" spans="1:11" x14ac:dyDescent="0.35">
      <c r="A218" s="4">
        <v>217</v>
      </c>
      <c r="B218" s="3" t="s">
        <v>240</v>
      </c>
      <c r="C218" s="3" t="s">
        <v>11</v>
      </c>
      <c r="D218" s="3" t="s">
        <v>18</v>
      </c>
      <c r="E218" s="3">
        <v>95528</v>
      </c>
      <c r="F218" s="3">
        <v>12195</v>
      </c>
      <c r="G218" s="3" t="s">
        <v>22</v>
      </c>
      <c r="H218" s="3" t="s">
        <v>14</v>
      </c>
      <c r="I218" s="3">
        <v>345</v>
      </c>
      <c r="J218" s="5" t="s">
        <v>24</v>
      </c>
      <c r="K218" s="3" t="str">
        <f t="shared" si="3"/>
        <v>Mrs. Molly Jones MD</v>
      </c>
    </row>
    <row r="219" spans="1:11" x14ac:dyDescent="0.35">
      <c r="A219" s="4">
        <v>218</v>
      </c>
      <c r="B219" s="3" t="s">
        <v>241</v>
      </c>
      <c r="C219" s="3" t="s">
        <v>11</v>
      </c>
      <c r="D219" s="3" t="s">
        <v>12</v>
      </c>
      <c r="E219" s="3">
        <v>105531</v>
      </c>
      <c r="F219" s="3">
        <v>493062</v>
      </c>
      <c r="G219" s="3" t="s">
        <v>22</v>
      </c>
      <c r="H219" s="3" t="s">
        <v>23</v>
      </c>
      <c r="I219" s="3">
        <v>363</v>
      </c>
      <c r="J219" s="5" t="s">
        <v>24</v>
      </c>
      <c r="K219" s="3" t="str">
        <f t="shared" si="3"/>
        <v>Patricia Nielsen</v>
      </c>
    </row>
    <row r="220" spans="1:11" x14ac:dyDescent="0.35">
      <c r="A220" s="4">
        <v>219</v>
      </c>
      <c r="B220" s="3" t="s">
        <v>242</v>
      </c>
      <c r="C220" s="3" t="s">
        <v>17</v>
      </c>
      <c r="D220" s="3" t="s">
        <v>12</v>
      </c>
      <c r="E220" s="3">
        <v>59091</v>
      </c>
      <c r="F220" s="3">
        <v>191393</v>
      </c>
      <c r="G220" s="3" t="s">
        <v>22</v>
      </c>
      <c r="H220" s="3" t="s">
        <v>23</v>
      </c>
      <c r="I220" s="3">
        <v>760</v>
      </c>
      <c r="J220" s="5" t="s">
        <v>24</v>
      </c>
      <c r="K220" s="3" t="str">
        <f t="shared" si="3"/>
        <v>Patricia Nielsen</v>
      </c>
    </row>
    <row r="221" spans="1:11" x14ac:dyDescent="0.35">
      <c r="A221" s="4">
        <v>220</v>
      </c>
      <c r="B221" s="3" t="s">
        <v>243</v>
      </c>
      <c r="C221" s="3" t="s">
        <v>17</v>
      </c>
      <c r="D221" s="3" t="s">
        <v>12</v>
      </c>
      <c r="E221" s="3">
        <v>112834</v>
      </c>
      <c r="F221" s="3">
        <v>494457</v>
      </c>
      <c r="G221" s="3" t="s">
        <v>22</v>
      </c>
      <c r="H221" s="3" t="s">
        <v>23</v>
      </c>
      <c r="I221" s="3">
        <v>318</v>
      </c>
      <c r="J221" s="5" t="s">
        <v>15</v>
      </c>
      <c r="K221" s="3" t="str">
        <f t="shared" si="3"/>
        <v>Patricia Nielsen</v>
      </c>
    </row>
    <row r="222" spans="1:11" x14ac:dyDescent="0.35">
      <c r="A222" s="4">
        <v>221</v>
      </c>
      <c r="B222" s="3" t="s">
        <v>244</v>
      </c>
      <c r="C222" s="3" t="s">
        <v>11</v>
      </c>
      <c r="D222" s="3" t="s">
        <v>18</v>
      </c>
      <c r="E222" s="3">
        <v>104645</v>
      </c>
      <c r="F222" s="3">
        <v>58877</v>
      </c>
      <c r="G222" s="3" t="s">
        <v>13</v>
      </c>
      <c r="H222" s="3" t="s">
        <v>14</v>
      </c>
      <c r="I222" s="3">
        <v>710</v>
      </c>
      <c r="J222" s="5" t="s">
        <v>15</v>
      </c>
      <c r="K222" s="3" t="str">
        <f t="shared" si="3"/>
        <v>Mrs. Molly Jones MD</v>
      </c>
    </row>
    <row r="223" spans="1:11" x14ac:dyDescent="0.35">
      <c r="A223" s="4">
        <v>222</v>
      </c>
      <c r="B223" s="3" t="s">
        <v>245</v>
      </c>
      <c r="C223" s="3" t="s">
        <v>17</v>
      </c>
      <c r="D223" s="3" t="s">
        <v>21</v>
      </c>
      <c r="E223" s="3">
        <v>97875</v>
      </c>
      <c r="F223" s="3">
        <v>204136</v>
      </c>
      <c r="G223" s="3" t="s">
        <v>22</v>
      </c>
      <c r="H223" s="3" t="s">
        <v>26</v>
      </c>
      <c r="I223" s="3">
        <v>384</v>
      </c>
      <c r="J223" s="5" t="s">
        <v>15</v>
      </c>
      <c r="K223" s="3" t="str">
        <f t="shared" si="3"/>
        <v>Audrey Russell</v>
      </c>
    </row>
    <row r="224" spans="1:11" x14ac:dyDescent="0.35">
      <c r="A224" s="4">
        <v>223</v>
      </c>
      <c r="B224" s="3" t="s">
        <v>246</v>
      </c>
      <c r="C224" s="3" t="s">
        <v>11</v>
      </c>
      <c r="D224" s="3" t="s">
        <v>21</v>
      </c>
      <c r="E224" s="3">
        <v>112879</v>
      </c>
      <c r="F224" s="3">
        <v>496548</v>
      </c>
      <c r="G224" s="3" t="s">
        <v>13</v>
      </c>
      <c r="H224" s="3" t="s">
        <v>26</v>
      </c>
      <c r="I224" s="3">
        <v>729</v>
      </c>
      <c r="J224" s="5" t="s">
        <v>15</v>
      </c>
      <c r="K224" s="3" t="str">
        <f t="shared" si="3"/>
        <v>Audrey Russell</v>
      </c>
    </row>
    <row r="225" spans="1:11" x14ac:dyDescent="0.35">
      <c r="A225" s="4">
        <v>224</v>
      </c>
      <c r="B225" s="3" t="s">
        <v>247</v>
      </c>
      <c r="C225" s="3" t="s">
        <v>11</v>
      </c>
      <c r="D225" s="3" t="s">
        <v>18</v>
      </c>
      <c r="E225" s="3">
        <v>37513</v>
      </c>
      <c r="F225" s="3">
        <v>68884</v>
      </c>
      <c r="G225" s="3" t="s">
        <v>22</v>
      </c>
      <c r="H225" s="3" t="s">
        <v>23</v>
      </c>
      <c r="I225" s="3">
        <v>551</v>
      </c>
      <c r="J225" s="5" t="s">
        <v>15</v>
      </c>
      <c r="K225" s="3" t="str">
        <f t="shared" si="3"/>
        <v>Patricia Nielsen</v>
      </c>
    </row>
    <row r="226" spans="1:11" x14ac:dyDescent="0.35">
      <c r="A226" s="4">
        <v>225</v>
      </c>
      <c r="B226" s="3" t="s">
        <v>248</v>
      </c>
      <c r="C226" s="3" t="s">
        <v>11</v>
      </c>
      <c r="D226" s="3" t="s">
        <v>12</v>
      </c>
      <c r="E226" s="3">
        <v>44045</v>
      </c>
      <c r="F226" s="3">
        <v>28733</v>
      </c>
      <c r="G226" s="3" t="s">
        <v>13</v>
      </c>
      <c r="H226" s="3" t="s">
        <v>23</v>
      </c>
      <c r="I226" s="3">
        <v>753</v>
      </c>
      <c r="J226" s="5" t="s">
        <v>15</v>
      </c>
      <c r="K226" s="3" t="str">
        <f t="shared" si="3"/>
        <v>Patricia Nielsen</v>
      </c>
    </row>
    <row r="227" spans="1:11" x14ac:dyDescent="0.35">
      <c r="A227" s="4">
        <v>226</v>
      </c>
      <c r="B227" s="3" t="s">
        <v>249</v>
      </c>
      <c r="C227" s="3" t="s">
        <v>11</v>
      </c>
      <c r="D227" s="3" t="s">
        <v>18</v>
      </c>
      <c r="E227" s="3">
        <v>100592</v>
      </c>
      <c r="F227" s="3">
        <v>490778</v>
      </c>
      <c r="G227" s="3" t="s">
        <v>13</v>
      </c>
      <c r="H227" s="3" t="s">
        <v>19</v>
      </c>
      <c r="I227" s="3">
        <v>584</v>
      </c>
      <c r="J227" s="5" t="s">
        <v>32</v>
      </c>
      <c r="K227" s="3" t="str">
        <f t="shared" si="3"/>
        <v>Dr. Luis Adams</v>
      </c>
    </row>
    <row r="228" spans="1:11" x14ac:dyDescent="0.35">
      <c r="A228" s="4">
        <v>227</v>
      </c>
      <c r="B228" s="3" t="s">
        <v>250</v>
      </c>
      <c r="C228" s="3" t="s">
        <v>17</v>
      </c>
      <c r="D228" s="3" t="s">
        <v>18</v>
      </c>
      <c r="E228" s="3">
        <v>89815</v>
      </c>
      <c r="F228" s="3">
        <v>149413</v>
      </c>
      <c r="G228" s="3" t="s">
        <v>13</v>
      </c>
      <c r="H228" s="3" t="s">
        <v>26</v>
      </c>
      <c r="I228" s="3">
        <v>686</v>
      </c>
      <c r="J228" s="5" t="s">
        <v>32</v>
      </c>
      <c r="K228" s="3" t="str">
        <f t="shared" si="3"/>
        <v>Audrey Russell</v>
      </c>
    </row>
    <row r="229" spans="1:11" x14ac:dyDescent="0.35">
      <c r="A229" s="4">
        <v>228</v>
      </c>
      <c r="B229" s="3" t="s">
        <v>251</v>
      </c>
      <c r="C229" s="3" t="s">
        <v>17</v>
      </c>
      <c r="D229" s="3" t="s">
        <v>21</v>
      </c>
      <c r="E229" s="3">
        <v>24879</v>
      </c>
      <c r="F229" s="3">
        <v>237891</v>
      </c>
      <c r="G229" s="3" t="s">
        <v>13</v>
      </c>
      <c r="H229" s="3" t="s">
        <v>14</v>
      </c>
      <c r="I229" s="3">
        <v>476</v>
      </c>
      <c r="J229" s="5" t="s">
        <v>15</v>
      </c>
      <c r="K229" s="3" t="str">
        <f t="shared" si="3"/>
        <v>Mrs. Molly Jones MD</v>
      </c>
    </row>
    <row r="230" spans="1:11" x14ac:dyDescent="0.35">
      <c r="A230" s="4">
        <v>229</v>
      </c>
      <c r="B230" s="3" t="s">
        <v>252</v>
      </c>
      <c r="C230" s="3" t="s">
        <v>11</v>
      </c>
      <c r="D230" s="3" t="s">
        <v>21</v>
      </c>
      <c r="E230" s="3">
        <v>81683</v>
      </c>
      <c r="F230" s="3">
        <v>187193</v>
      </c>
      <c r="G230" s="3" t="s">
        <v>22</v>
      </c>
      <c r="H230" s="3" t="s">
        <v>26</v>
      </c>
      <c r="I230" s="3">
        <v>827</v>
      </c>
      <c r="J230" s="5" t="s">
        <v>32</v>
      </c>
      <c r="K230" s="3" t="str">
        <f t="shared" si="3"/>
        <v>Audrey Russell</v>
      </c>
    </row>
    <row r="231" spans="1:11" x14ac:dyDescent="0.35">
      <c r="A231" s="4">
        <v>230</v>
      </c>
      <c r="B231" s="3" t="s">
        <v>253</v>
      </c>
      <c r="C231" s="3" t="s">
        <v>11</v>
      </c>
      <c r="D231" s="3" t="s">
        <v>21</v>
      </c>
      <c r="E231" s="3">
        <v>21758</v>
      </c>
      <c r="F231" s="3">
        <v>22649</v>
      </c>
      <c r="G231" s="3" t="s">
        <v>22</v>
      </c>
      <c r="H231" s="3" t="s">
        <v>26</v>
      </c>
      <c r="I231" s="3">
        <v>596</v>
      </c>
      <c r="J231" s="5" t="s">
        <v>15</v>
      </c>
      <c r="K231" s="3" t="str">
        <f t="shared" si="3"/>
        <v>Audrey Russell</v>
      </c>
    </row>
    <row r="232" spans="1:11" x14ac:dyDescent="0.35">
      <c r="A232" s="4">
        <v>231</v>
      </c>
      <c r="B232" s="3" t="s">
        <v>254</v>
      </c>
      <c r="C232" s="3" t="s">
        <v>17</v>
      </c>
      <c r="D232" s="3" t="s">
        <v>21</v>
      </c>
      <c r="E232" s="3">
        <v>36303</v>
      </c>
      <c r="F232" s="3">
        <v>59917</v>
      </c>
      <c r="G232" s="3" t="s">
        <v>13</v>
      </c>
      <c r="H232" s="3" t="s">
        <v>23</v>
      </c>
      <c r="I232" s="3">
        <v>818</v>
      </c>
      <c r="J232" s="5" t="s">
        <v>32</v>
      </c>
      <c r="K232" s="3" t="str">
        <f t="shared" si="3"/>
        <v>Patricia Nielsen</v>
      </c>
    </row>
    <row r="233" spans="1:11" x14ac:dyDescent="0.35">
      <c r="A233" s="4">
        <v>232</v>
      </c>
      <c r="B233" s="3" t="s">
        <v>255</v>
      </c>
      <c r="C233" s="3" t="s">
        <v>11</v>
      </c>
      <c r="D233" s="3" t="s">
        <v>18</v>
      </c>
      <c r="E233" s="3">
        <v>53230</v>
      </c>
      <c r="F233" s="3">
        <v>409116</v>
      </c>
      <c r="G233" s="3" t="s">
        <v>13</v>
      </c>
      <c r="H233" s="3" t="s">
        <v>14</v>
      </c>
      <c r="I233" s="3">
        <v>409</v>
      </c>
      <c r="J233" s="5" t="s">
        <v>24</v>
      </c>
      <c r="K233" s="3" t="str">
        <f t="shared" si="3"/>
        <v>Mrs. Molly Jones MD</v>
      </c>
    </row>
    <row r="234" spans="1:11" x14ac:dyDescent="0.35">
      <c r="A234" s="4">
        <v>233</v>
      </c>
      <c r="B234" s="3" t="s">
        <v>256</v>
      </c>
      <c r="C234" s="3" t="s">
        <v>17</v>
      </c>
      <c r="D234" s="3" t="s">
        <v>18</v>
      </c>
      <c r="E234" s="3">
        <v>111931</v>
      </c>
      <c r="F234" s="3">
        <v>168650</v>
      </c>
      <c r="G234" s="3" t="s">
        <v>22</v>
      </c>
      <c r="H234" s="3" t="s">
        <v>26</v>
      </c>
      <c r="I234" s="3">
        <v>524</v>
      </c>
      <c r="J234" s="5" t="s">
        <v>32</v>
      </c>
      <c r="K234" s="3" t="str">
        <f t="shared" si="3"/>
        <v>Audrey Russell</v>
      </c>
    </row>
    <row r="235" spans="1:11" x14ac:dyDescent="0.35">
      <c r="A235" s="4">
        <v>234</v>
      </c>
      <c r="B235" s="3" t="s">
        <v>257</v>
      </c>
      <c r="C235" s="3" t="s">
        <v>17</v>
      </c>
      <c r="D235" s="3" t="s">
        <v>21</v>
      </c>
      <c r="E235" s="3">
        <v>118463</v>
      </c>
      <c r="F235" s="3">
        <v>391844</v>
      </c>
      <c r="G235" s="3" t="s">
        <v>22</v>
      </c>
      <c r="H235" s="3" t="s">
        <v>14</v>
      </c>
      <c r="I235" s="3">
        <v>775</v>
      </c>
      <c r="J235" s="5" t="s">
        <v>24</v>
      </c>
      <c r="K235" s="3" t="str">
        <f t="shared" si="3"/>
        <v>Mrs. Molly Jones MD</v>
      </c>
    </row>
    <row r="236" spans="1:11" x14ac:dyDescent="0.35">
      <c r="A236" s="4">
        <v>235</v>
      </c>
      <c r="B236" s="3" t="s">
        <v>258</v>
      </c>
      <c r="C236" s="3" t="s">
        <v>11</v>
      </c>
      <c r="D236" s="3" t="s">
        <v>12</v>
      </c>
      <c r="E236" s="3">
        <v>60930</v>
      </c>
      <c r="F236" s="3">
        <v>475595</v>
      </c>
      <c r="G236" s="3" t="s">
        <v>13</v>
      </c>
      <c r="H236" s="3" t="s">
        <v>19</v>
      </c>
      <c r="I236" s="3">
        <v>539</v>
      </c>
      <c r="J236" s="5" t="s">
        <v>32</v>
      </c>
      <c r="K236" s="3" t="str">
        <f t="shared" si="3"/>
        <v>Dr. Luis Adams</v>
      </c>
    </row>
    <row r="237" spans="1:11" x14ac:dyDescent="0.35">
      <c r="A237" s="4">
        <v>236</v>
      </c>
      <c r="B237" s="3" t="s">
        <v>259</v>
      </c>
      <c r="C237" s="3" t="s">
        <v>11</v>
      </c>
      <c r="D237" s="3" t="s">
        <v>21</v>
      </c>
      <c r="E237" s="3">
        <v>63806</v>
      </c>
      <c r="F237" s="3">
        <v>183201</v>
      </c>
      <c r="G237" s="3" t="s">
        <v>22</v>
      </c>
      <c r="H237" s="3" t="s">
        <v>14</v>
      </c>
      <c r="I237" s="3">
        <v>827</v>
      </c>
      <c r="J237" s="5" t="s">
        <v>15</v>
      </c>
      <c r="K237" s="3" t="str">
        <f t="shared" si="3"/>
        <v>Mrs. Molly Jones MD</v>
      </c>
    </row>
    <row r="238" spans="1:11" x14ac:dyDescent="0.35">
      <c r="A238" s="4">
        <v>237</v>
      </c>
      <c r="B238" s="3" t="s">
        <v>260</v>
      </c>
      <c r="C238" s="3" t="s">
        <v>11</v>
      </c>
      <c r="D238" s="3" t="s">
        <v>12</v>
      </c>
      <c r="E238" s="3">
        <v>78395</v>
      </c>
      <c r="F238" s="3">
        <v>340737</v>
      </c>
      <c r="G238" s="3" t="s">
        <v>13</v>
      </c>
      <c r="H238" s="3" t="s">
        <v>19</v>
      </c>
      <c r="I238" s="3">
        <v>875</v>
      </c>
      <c r="J238" s="5" t="s">
        <v>24</v>
      </c>
      <c r="K238" s="3" t="str">
        <f t="shared" si="3"/>
        <v>Dr. Luis Adams</v>
      </c>
    </row>
    <row r="239" spans="1:11" x14ac:dyDescent="0.35">
      <c r="A239" s="4">
        <v>238</v>
      </c>
      <c r="B239" s="3" t="s">
        <v>261</v>
      </c>
      <c r="C239" s="3" t="s">
        <v>11</v>
      </c>
      <c r="D239" s="3" t="s">
        <v>18</v>
      </c>
      <c r="E239" s="3">
        <v>106136</v>
      </c>
      <c r="F239" s="3">
        <v>218987</v>
      </c>
      <c r="G239" s="3" t="s">
        <v>13</v>
      </c>
      <c r="H239" s="3" t="s">
        <v>23</v>
      </c>
      <c r="I239" s="3">
        <v>369</v>
      </c>
      <c r="J239" s="5" t="s">
        <v>24</v>
      </c>
      <c r="K239" s="3" t="str">
        <f t="shared" si="3"/>
        <v>Patricia Nielsen</v>
      </c>
    </row>
    <row r="240" spans="1:11" x14ac:dyDescent="0.35">
      <c r="A240" s="4">
        <v>239</v>
      </c>
      <c r="B240" s="3" t="s">
        <v>262</v>
      </c>
      <c r="C240" s="3" t="s">
        <v>17</v>
      </c>
      <c r="D240" s="3" t="s">
        <v>18</v>
      </c>
      <c r="E240" s="3">
        <v>67122</v>
      </c>
      <c r="F240" s="3">
        <v>291062</v>
      </c>
      <c r="G240" s="3" t="s">
        <v>22</v>
      </c>
      <c r="H240" s="3" t="s">
        <v>23</v>
      </c>
      <c r="I240" s="3">
        <v>805</v>
      </c>
      <c r="J240" s="5" t="s">
        <v>15</v>
      </c>
      <c r="K240" s="3" t="str">
        <f t="shared" si="3"/>
        <v>Patricia Nielsen</v>
      </c>
    </row>
    <row r="241" spans="1:11" x14ac:dyDescent="0.35">
      <c r="A241" s="4">
        <v>240</v>
      </c>
      <c r="B241" s="3" t="s">
        <v>263</v>
      </c>
      <c r="C241" s="3" t="s">
        <v>17</v>
      </c>
      <c r="D241" s="3" t="s">
        <v>21</v>
      </c>
      <c r="E241" s="3">
        <v>24720</v>
      </c>
      <c r="F241" s="3">
        <v>398927</v>
      </c>
      <c r="G241" s="3" t="s">
        <v>13</v>
      </c>
      <c r="H241" s="3" t="s">
        <v>26</v>
      </c>
      <c r="I241" s="3">
        <v>715</v>
      </c>
      <c r="J241" s="5" t="s">
        <v>32</v>
      </c>
      <c r="K241" s="3" t="str">
        <f t="shared" si="3"/>
        <v>Audrey Russell</v>
      </c>
    </row>
    <row r="242" spans="1:11" x14ac:dyDescent="0.35">
      <c r="A242" s="4">
        <v>241</v>
      </c>
      <c r="B242" s="3" t="s">
        <v>264</v>
      </c>
      <c r="C242" s="3" t="s">
        <v>11</v>
      </c>
      <c r="D242" s="3" t="s">
        <v>18</v>
      </c>
      <c r="E242" s="3">
        <v>48240</v>
      </c>
      <c r="F242" s="3">
        <v>481026</v>
      </c>
      <c r="G242" s="3" t="s">
        <v>13</v>
      </c>
      <c r="H242" s="3" t="s">
        <v>19</v>
      </c>
      <c r="I242" s="3">
        <v>730</v>
      </c>
      <c r="J242" s="5" t="s">
        <v>15</v>
      </c>
      <c r="K242" s="3" t="str">
        <f t="shared" si="3"/>
        <v>Dr. Luis Adams</v>
      </c>
    </row>
    <row r="243" spans="1:11" x14ac:dyDescent="0.35">
      <c r="A243" s="4">
        <v>242</v>
      </c>
      <c r="B243" s="3" t="s">
        <v>265</v>
      </c>
      <c r="C243" s="3" t="s">
        <v>11</v>
      </c>
      <c r="D243" s="3" t="s">
        <v>12</v>
      </c>
      <c r="E243" s="3">
        <v>81621</v>
      </c>
      <c r="F243" s="3">
        <v>443470</v>
      </c>
      <c r="G243" s="3" t="s">
        <v>13</v>
      </c>
      <c r="H243" s="3" t="s">
        <v>19</v>
      </c>
      <c r="I243" s="3">
        <v>450</v>
      </c>
      <c r="J243" s="5" t="s">
        <v>32</v>
      </c>
      <c r="K243" s="3" t="str">
        <f t="shared" si="3"/>
        <v>Dr. Luis Adams</v>
      </c>
    </row>
    <row r="244" spans="1:11" x14ac:dyDescent="0.35">
      <c r="A244" s="4">
        <v>243</v>
      </c>
      <c r="B244" s="3" t="s">
        <v>266</v>
      </c>
      <c r="C244" s="3" t="s">
        <v>17</v>
      </c>
      <c r="D244" s="3" t="s">
        <v>12</v>
      </c>
      <c r="E244" s="3">
        <v>64241</v>
      </c>
      <c r="F244" s="3">
        <v>191046</v>
      </c>
      <c r="G244" s="3" t="s">
        <v>13</v>
      </c>
      <c r="H244" s="3" t="s">
        <v>14</v>
      </c>
      <c r="I244" s="3">
        <v>605</v>
      </c>
      <c r="J244" s="5" t="s">
        <v>32</v>
      </c>
      <c r="K244" s="3" t="str">
        <f t="shared" si="3"/>
        <v>Mrs. Molly Jones MD</v>
      </c>
    </row>
    <row r="245" spans="1:11" x14ac:dyDescent="0.35">
      <c r="A245" s="4">
        <v>244</v>
      </c>
      <c r="B245" s="3" t="s">
        <v>267</v>
      </c>
      <c r="C245" s="3" t="s">
        <v>11</v>
      </c>
      <c r="D245" s="3" t="s">
        <v>18</v>
      </c>
      <c r="E245" s="3">
        <v>99486</v>
      </c>
      <c r="F245" s="3">
        <v>239214</v>
      </c>
      <c r="G245" s="3" t="s">
        <v>13</v>
      </c>
      <c r="H245" s="3" t="s">
        <v>19</v>
      </c>
      <c r="I245" s="3">
        <v>708</v>
      </c>
      <c r="J245" s="5" t="s">
        <v>24</v>
      </c>
      <c r="K245" s="3" t="str">
        <f t="shared" si="3"/>
        <v>Dr. Luis Adams</v>
      </c>
    </row>
    <row r="246" spans="1:11" x14ac:dyDescent="0.35">
      <c r="A246" s="4">
        <v>245</v>
      </c>
      <c r="B246" s="3" t="s">
        <v>268</v>
      </c>
      <c r="C246" s="3" t="s">
        <v>17</v>
      </c>
      <c r="D246" s="3" t="s">
        <v>12</v>
      </c>
      <c r="E246" s="3">
        <v>29673</v>
      </c>
      <c r="F246" s="3">
        <v>192896</v>
      </c>
      <c r="G246" s="3" t="s">
        <v>22</v>
      </c>
      <c r="H246" s="3" t="s">
        <v>19</v>
      </c>
      <c r="I246" s="3">
        <v>762</v>
      </c>
      <c r="J246" s="5" t="s">
        <v>32</v>
      </c>
      <c r="K246" s="3" t="str">
        <f t="shared" si="3"/>
        <v>Dr. Luis Adams</v>
      </c>
    </row>
    <row r="247" spans="1:11" x14ac:dyDescent="0.35">
      <c r="A247" s="4">
        <v>246</v>
      </c>
      <c r="B247" s="3" t="s">
        <v>269</v>
      </c>
      <c r="C247" s="3" t="s">
        <v>17</v>
      </c>
      <c r="D247" s="3" t="s">
        <v>12</v>
      </c>
      <c r="E247" s="3">
        <v>50085</v>
      </c>
      <c r="F247" s="3">
        <v>336888</v>
      </c>
      <c r="G247" s="3" t="s">
        <v>22</v>
      </c>
      <c r="H247" s="3" t="s">
        <v>26</v>
      </c>
      <c r="I247" s="3">
        <v>406</v>
      </c>
      <c r="J247" s="5" t="s">
        <v>32</v>
      </c>
      <c r="K247" s="3" t="str">
        <f t="shared" si="3"/>
        <v>Audrey Russell</v>
      </c>
    </row>
    <row r="248" spans="1:11" x14ac:dyDescent="0.35">
      <c r="A248" s="4">
        <v>247</v>
      </c>
      <c r="B248" s="3" t="s">
        <v>270</v>
      </c>
      <c r="C248" s="3" t="s">
        <v>17</v>
      </c>
      <c r="D248" s="3" t="s">
        <v>21</v>
      </c>
      <c r="E248" s="3">
        <v>24761</v>
      </c>
      <c r="F248" s="3">
        <v>381272</v>
      </c>
      <c r="G248" s="3" t="s">
        <v>13</v>
      </c>
      <c r="H248" s="3" t="s">
        <v>23</v>
      </c>
      <c r="I248" s="3">
        <v>585</v>
      </c>
      <c r="J248" s="5" t="s">
        <v>24</v>
      </c>
      <c r="K248" s="3" t="str">
        <f t="shared" si="3"/>
        <v>Patricia Nielsen</v>
      </c>
    </row>
    <row r="249" spans="1:11" x14ac:dyDescent="0.35">
      <c r="A249" s="4">
        <v>248</v>
      </c>
      <c r="B249" s="3" t="s">
        <v>271</v>
      </c>
      <c r="C249" s="3" t="s">
        <v>11</v>
      </c>
      <c r="D249" s="3" t="s">
        <v>21</v>
      </c>
      <c r="E249" s="3">
        <v>32849</v>
      </c>
      <c r="F249" s="3">
        <v>420895</v>
      </c>
      <c r="G249" s="3" t="s">
        <v>22</v>
      </c>
      <c r="H249" s="3" t="s">
        <v>19</v>
      </c>
      <c r="I249" s="3">
        <v>801</v>
      </c>
      <c r="J249" s="5" t="s">
        <v>24</v>
      </c>
      <c r="K249" s="3" t="str">
        <f t="shared" si="3"/>
        <v>Dr. Luis Adams</v>
      </c>
    </row>
    <row r="250" spans="1:11" x14ac:dyDescent="0.35">
      <c r="A250" s="4">
        <v>249</v>
      </c>
      <c r="B250" s="3" t="s">
        <v>272</v>
      </c>
      <c r="C250" s="3" t="s">
        <v>17</v>
      </c>
      <c r="D250" s="3" t="s">
        <v>21</v>
      </c>
      <c r="E250" s="3">
        <v>74358</v>
      </c>
      <c r="F250" s="3">
        <v>179080</v>
      </c>
      <c r="G250" s="3" t="s">
        <v>22</v>
      </c>
      <c r="H250" s="3" t="s">
        <v>14</v>
      </c>
      <c r="I250" s="3">
        <v>773</v>
      </c>
      <c r="J250" s="5" t="s">
        <v>15</v>
      </c>
      <c r="K250" s="3" t="str">
        <f t="shared" si="3"/>
        <v>Mrs. Molly Jones MD</v>
      </c>
    </row>
    <row r="251" spans="1:11" x14ac:dyDescent="0.35">
      <c r="A251" s="4">
        <v>250</v>
      </c>
      <c r="B251" s="3" t="s">
        <v>273</v>
      </c>
      <c r="C251" s="3" t="s">
        <v>17</v>
      </c>
      <c r="D251" s="3" t="s">
        <v>12</v>
      </c>
      <c r="E251" s="3">
        <v>45833</v>
      </c>
      <c r="F251" s="3">
        <v>26815</v>
      </c>
      <c r="G251" s="3" t="s">
        <v>13</v>
      </c>
      <c r="H251" s="3" t="s">
        <v>19</v>
      </c>
      <c r="I251" s="3">
        <v>390</v>
      </c>
      <c r="J251" s="5" t="s">
        <v>32</v>
      </c>
      <c r="K251" s="3" t="str">
        <f t="shared" si="3"/>
        <v>Dr. Luis Adams</v>
      </c>
    </row>
    <row r="252" spans="1:11" x14ac:dyDescent="0.35">
      <c r="A252" s="4">
        <v>251</v>
      </c>
      <c r="B252" s="3" t="s">
        <v>274</v>
      </c>
      <c r="C252" s="3" t="s">
        <v>17</v>
      </c>
      <c r="D252" s="3" t="s">
        <v>18</v>
      </c>
      <c r="E252" s="3">
        <v>81104</v>
      </c>
      <c r="F252" s="3">
        <v>20873</v>
      </c>
      <c r="G252" s="3" t="s">
        <v>22</v>
      </c>
      <c r="H252" s="3" t="s">
        <v>19</v>
      </c>
      <c r="I252" s="3">
        <v>607</v>
      </c>
      <c r="J252" s="5" t="s">
        <v>24</v>
      </c>
      <c r="K252" s="3" t="str">
        <f t="shared" si="3"/>
        <v>Dr. Luis Adams</v>
      </c>
    </row>
    <row r="253" spans="1:11" x14ac:dyDescent="0.35">
      <c r="A253" s="4">
        <v>252</v>
      </c>
      <c r="B253" s="3" t="s">
        <v>275</v>
      </c>
      <c r="C253" s="3" t="s">
        <v>11</v>
      </c>
      <c r="D253" s="3" t="s">
        <v>12</v>
      </c>
      <c r="E253" s="3">
        <v>73095</v>
      </c>
      <c r="F253" s="3">
        <v>18661</v>
      </c>
      <c r="G253" s="3" t="s">
        <v>22</v>
      </c>
      <c r="H253" s="3" t="s">
        <v>19</v>
      </c>
      <c r="I253" s="3">
        <v>660</v>
      </c>
      <c r="J253" s="5" t="s">
        <v>15</v>
      </c>
      <c r="K253" s="3" t="str">
        <f t="shared" si="3"/>
        <v>Dr. Luis Adams</v>
      </c>
    </row>
    <row r="254" spans="1:11" x14ac:dyDescent="0.35">
      <c r="A254" s="4">
        <v>253</v>
      </c>
      <c r="B254" s="3" t="s">
        <v>276</v>
      </c>
      <c r="C254" s="3" t="s">
        <v>17</v>
      </c>
      <c r="D254" s="3" t="s">
        <v>12</v>
      </c>
      <c r="E254" s="3">
        <v>37208</v>
      </c>
      <c r="F254" s="3">
        <v>88128</v>
      </c>
      <c r="G254" s="3" t="s">
        <v>22</v>
      </c>
      <c r="H254" s="3" t="s">
        <v>19</v>
      </c>
      <c r="I254" s="3">
        <v>734</v>
      </c>
      <c r="J254" s="5" t="s">
        <v>32</v>
      </c>
      <c r="K254" s="3" t="str">
        <f t="shared" si="3"/>
        <v>Dr. Luis Adams</v>
      </c>
    </row>
    <row r="255" spans="1:11" x14ac:dyDescent="0.35">
      <c r="A255" s="4">
        <v>254</v>
      </c>
      <c r="B255" s="3" t="s">
        <v>277</v>
      </c>
      <c r="C255" s="3" t="s">
        <v>11</v>
      </c>
      <c r="D255" s="3" t="s">
        <v>21</v>
      </c>
      <c r="E255" s="3">
        <v>34491</v>
      </c>
      <c r="F255" s="3">
        <v>439384</v>
      </c>
      <c r="G255" s="3" t="s">
        <v>13</v>
      </c>
      <c r="H255" s="3" t="s">
        <v>14</v>
      </c>
      <c r="I255" s="3">
        <v>323</v>
      </c>
      <c r="J255" s="5" t="s">
        <v>15</v>
      </c>
      <c r="K255" s="3" t="str">
        <f t="shared" si="3"/>
        <v>Mrs. Molly Jones MD</v>
      </c>
    </row>
    <row r="256" spans="1:11" x14ac:dyDescent="0.35">
      <c r="A256" s="4">
        <v>255</v>
      </c>
      <c r="B256" s="3" t="s">
        <v>278</v>
      </c>
      <c r="C256" s="3" t="s">
        <v>17</v>
      </c>
      <c r="D256" s="3" t="s">
        <v>21</v>
      </c>
      <c r="E256" s="3">
        <v>53609</v>
      </c>
      <c r="F256" s="3">
        <v>158771</v>
      </c>
      <c r="G256" s="3" t="s">
        <v>22</v>
      </c>
      <c r="H256" s="3" t="s">
        <v>26</v>
      </c>
      <c r="I256" s="3">
        <v>806</v>
      </c>
      <c r="J256" s="5" t="s">
        <v>32</v>
      </c>
      <c r="K256" s="3" t="str">
        <f t="shared" si="3"/>
        <v>Audrey Russell</v>
      </c>
    </row>
    <row r="257" spans="1:11" x14ac:dyDescent="0.35">
      <c r="A257" s="4">
        <v>256</v>
      </c>
      <c r="B257" s="3" t="s">
        <v>279</v>
      </c>
      <c r="C257" s="3" t="s">
        <v>11</v>
      </c>
      <c r="D257" s="3" t="s">
        <v>12</v>
      </c>
      <c r="E257" s="3">
        <v>21465</v>
      </c>
      <c r="F257" s="3">
        <v>334434</v>
      </c>
      <c r="G257" s="3" t="s">
        <v>13</v>
      </c>
      <c r="H257" s="3" t="s">
        <v>26</v>
      </c>
      <c r="I257" s="3">
        <v>436</v>
      </c>
      <c r="J257" s="5" t="s">
        <v>32</v>
      </c>
      <c r="K257" s="3" t="str">
        <f t="shared" si="3"/>
        <v>Audrey Russell</v>
      </c>
    </row>
    <row r="258" spans="1:11" x14ac:dyDescent="0.35">
      <c r="A258" s="4">
        <v>257</v>
      </c>
      <c r="B258" s="3" t="s">
        <v>280</v>
      </c>
      <c r="C258" s="3" t="s">
        <v>17</v>
      </c>
      <c r="D258" s="3" t="s">
        <v>12</v>
      </c>
      <c r="E258" s="3">
        <v>46526</v>
      </c>
      <c r="F258" s="3">
        <v>30077</v>
      </c>
      <c r="G258" s="3" t="s">
        <v>13</v>
      </c>
      <c r="H258" s="3" t="s">
        <v>26</v>
      </c>
      <c r="I258" s="3">
        <v>607</v>
      </c>
      <c r="J258" s="5" t="s">
        <v>32</v>
      </c>
      <c r="K258" s="3" t="str">
        <f t="shared" ref="K258:K321" si="4">_xlfn.XLOOKUP(H258,$M$2:$M$5,$N$2:$N$5)</f>
        <v>Audrey Russell</v>
      </c>
    </row>
    <row r="259" spans="1:11" x14ac:dyDescent="0.35">
      <c r="A259" s="4">
        <v>258</v>
      </c>
      <c r="B259" s="3" t="s">
        <v>281</v>
      </c>
      <c r="C259" s="3" t="s">
        <v>17</v>
      </c>
      <c r="D259" s="3" t="s">
        <v>18</v>
      </c>
      <c r="E259" s="3">
        <v>35765</v>
      </c>
      <c r="F259" s="3">
        <v>46375</v>
      </c>
      <c r="G259" s="3" t="s">
        <v>22</v>
      </c>
      <c r="H259" s="3" t="s">
        <v>23</v>
      </c>
      <c r="I259" s="3">
        <v>804</v>
      </c>
      <c r="J259" s="5" t="s">
        <v>15</v>
      </c>
      <c r="K259" s="3" t="str">
        <f t="shared" si="4"/>
        <v>Patricia Nielsen</v>
      </c>
    </row>
    <row r="260" spans="1:11" x14ac:dyDescent="0.35">
      <c r="A260" s="4">
        <v>259</v>
      </c>
      <c r="B260" s="3" t="s">
        <v>282</v>
      </c>
      <c r="C260" s="3" t="s">
        <v>17</v>
      </c>
      <c r="D260" s="3" t="s">
        <v>21</v>
      </c>
      <c r="E260" s="3">
        <v>93150</v>
      </c>
      <c r="F260" s="3">
        <v>189198</v>
      </c>
      <c r="G260" s="3" t="s">
        <v>22</v>
      </c>
      <c r="H260" s="3" t="s">
        <v>19</v>
      </c>
      <c r="I260" s="3">
        <v>882</v>
      </c>
      <c r="J260" s="5" t="s">
        <v>32</v>
      </c>
      <c r="K260" s="3" t="str">
        <f t="shared" si="4"/>
        <v>Dr. Luis Adams</v>
      </c>
    </row>
    <row r="261" spans="1:11" x14ac:dyDescent="0.35">
      <c r="A261" s="4">
        <v>260</v>
      </c>
      <c r="B261" s="3" t="s">
        <v>283</v>
      </c>
      <c r="C261" s="3" t="s">
        <v>11</v>
      </c>
      <c r="D261" s="3" t="s">
        <v>12</v>
      </c>
      <c r="E261" s="3">
        <v>117648</v>
      </c>
      <c r="F261" s="3">
        <v>208433</v>
      </c>
      <c r="G261" s="3" t="s">
        <v>22</v>
      </c>
      <c r="H261" s="3" t="s">
        <v>14</v>
      </c>
      <c r="I261" s="3">
        <v>511</v>
      </c>
      <c r="J261" s="5" t="s">
        <v>32</v>
      </c>
      <c r="K261" s="3" t="str">
        <f t="shared" si="4"/>
        <v>Mrs. Molly Jones MD</v>
      </c>
    </row>
    <row r="262" spans="1:11" x14ac:dyDescent="0.35">
      <c r="A262" s="4">
        <v>261</v>
      </c>
      <c r="B262" s="3" t="s">
        <v>284</v>
      </c>
      <c r="C262" s="3" t="s">
        <v>11</v>
      </c>
      <c r="D262" s="3" t="s">
        <v>12</v>
      </c>
      <c r="E262" s="3">
        <v>27160</v>
      </c>
      <c r="F262" s="3">
        <v>462381</v>
      </c>
      <c r="G262" s="3" t="s">
        <v>22</v>
      </c>
      <c r="H262" s="3" t="s">
        <v>23</v>
      </c>
      <c r="I262" s="3">
        <v>451</v>
      </c>
      <c r="J262" s="5" t="s">
        <v>15</v>
      </c>
      <c r="K262" s="3" t="str">
        <f t="shared" si="4"/>
        <v>Patricia Nielsen</v>
      </c>
    </row>
    <row r="263" spans="1:11" x14ac:dyDescent="0.35">
      <c r="A263" s="4">
        <v>262</v>
      </c>
      <c r="B263" s="3" t="s">
        <v>285</v>
      </c>
      <c r="C263" s="3" t="s">
        <v>17</v>
      </c>
      <c r="D263" s="3" t="s">
        <v>18</v>
      </c>
      <c r="E263" s="3">
        <v>33751</v>
      </c>
      <c r="F263" s="3">
        <v>189030</v>
      </c>
      <c r="G263" s="3" t="s">
        <v>13</v>
      </c>
      <c r="H263" s="3" t="s">
        <v>23</v>
      </c>
      <c r="I263" s="3">
        <v>782</v>
      </c>
      <c r="J263" s="5" t="s">
        <v>15</v>
      </c>
      <c r="K263" s="3" t="str">
        <f t="shared" si="4"/>
        <v>Patricia Nielsen</v>
      </c>
    </row>
    <row r="264" spans="1:11" x14ac:dyDescent="0.35">
      <c r="A264" s="4">
        <v>263</v>
      </c>
      <c r="B264" s="3" t="s">
        <v>286</v>
      </c>
      <c r="C264" s="3" t="s">
        <v>17</v>
      </c>
      <c r="D264" s="3" t="s">
        <v>12</v>
      </c>
      <c r="E264" s="3">
        <v>61070</v>
      </c>
      <c r="F264" s="3">
        <v>313058</v>
      </c>
      <c r="G264" s="3" t="s">
        <v>22</v>
      </c>
      <c r="H264" s="3" t="s">
        <v>23</v>
      </c>
      <c r="I264" s="3">
        <v>809</v>
      </c>
      <c r="J264" s="5" t="s">
        <v>24</v>
      </c>
      <c r="K264" s="3" t="str">
        <f t="shared" si="4"/>
        <v>Patricia Nielsen</v>
      </c>
    </row>
    <row r="265" spans="1:11" x14ac:dyDescent="0.35">
      <c r="A265" s="4">
        <v>264</v>
      </c>
      <c r="B265" s="3" t="s">
        <v>287</v>
      </c>
      <c r="C265" s="3" t="s">
        <v>17</v>
      </c>
      <c r="D265" s="3" t="s">
        <v>12</v>
      </c>
      <c r="E265" s="3">
        <v>44451</v>
      </c>
      <c r="F265" s="3">
        <v>428006</v>
      </c>
      <c r="G265" s="3" t="s">
        <v>22</v>
      </c>
      <c r="H265" s="3" t="s">
        <v>26</v>
      </c>
      <c r="I265" s="3">
        <v>479</v>
      </c>
      <c r="J265" s="5" t="s">
        <v>24</v>
      </c>
      <c r="K265" s="3" t="str">
        <f t="shared" si="4"/>
        <v>Audrey Russell</v>
      </c>
    </row>
    <row r="266" spans="1:11" x14ac:dyDescent="0.35">
      <c r="A266" s="4">
        <v>265</v>
      </c>
      <c r="B266" s="3" t="s">
        <v>288</v>
      </c>
      <c r="C266" s="3" t="s">
        <v>11</v>
      </c>
      <c r="D266" s="3" t="s">
        <v>21</v>
      </c>
      <c r="E266" s="3">
        <v>22559</v>
      </c>
      <c r="F266" s="3">
        <v>449220</v>
      </c>
      <c r="G266" s="3" t="s">
        <v>13</v>
      </c>
      <c r="H266" s="3" t="s">
        <v>14</v>
      </c>
      <c r="I266" s="3">
        <v>757</v>
      </c>
      <c r="J266" s="5" t="s">
        <v>15</v>
      </c>
      <c r="K266" s="3" t="str">
        <f t="shared" si="4"/>
        <v>Mrs. Molly Jones MD</v>
      </c>
    </row>
    <row r="267" spans="1:11" x14ac:dyDescent="0.35">
      <c r="A267" s="4">
        <v>266</v>
      </c>
      <c r="B267" s="3" t="s">
        <v>289</v>
      </c>
      <c r="C267" s="3" t="s">
        <v>17</v>
      </c>
      <c r="D267" s="3" t="s">
        <v>21</v>
      </c>
      <c r="E267" s="3">
        <v>58079</v>
      </c>
      <c r="F267" s="3">
        <v>195877</v>
      </c>
      <c r="G267" s="3" t="s">
        <v>13</v>
      </c>
      <c r="H267" s="3" t="s">
        <v>23</v>
      </c>
      <c r="I267" s="3">
        <v>643</v>
      </c>
      <c r="J267" s="5" t="s">
        <v>32</v>
      </c>
      <c r="K267" s="3" t="str">
        <f t="shared" si="4"/>
        <v>Patricia Nielsen</v>
      </c>
    </row>
    <row r="268" spans="1:11" x14ac:dyDescent="0.35">
      <c r="A268" s="4">
        <v>267</v>
      </c>
      <c r="B268" s="3" t="s">
        <v>290</v>
      </c>
      <c r="C268" s="3" t="s">
        <v>11</v>
      </c>
      <c r="D268" s="3" t="s">
        <v>21</v>
      </c>
      <c r="E268" s="3">
        <v>52320</v>
      </c>
      <c r="F268" s="3">
        <v>191280</v>
      </c>
      <c r="G268" s="3" t="s">
        <v>13</v>
      </c>
      <c r="H268" s="3" t="s">
        <v>14</v>
      </c>
      <c r="I268" s="3">
        <v>827</v>
      </c>
      <c r="J268" s="5" t="s">
        <v>15</v>
      </c>
      <c r="K268" s="3" t="str">
        <f t="shared" si="4"/>
        <v>Mrs. Molly Jones MD</v>
      </c>
    </row>
    <row r="269" spans="1:11" x14ac:dyDescent="0.35">
      <c r="A269" s="4">
        <v>268</v>
      </c>
      <c r="B269" s="3" t="s">
        <v>291</v>
      </c>
      <c r="C269" s="3" t="s">
        <v>11</v>
      </c>
      <c r="D269" s="3" t="s">
        <v>21</v>
      </c>
      <c r="E269" s="3">
        <v>25388</v>
      </c>
      <c r="F269" s="3">
        <v>165262</v>
      </c>
      <c r="G269" s="3" t="s">
        <v>22</v>
      </c>
      <c r="H269" s="3" t="s">
        <v>14</v>
      </c>
      <c r="I269" s="3">
        <v>717</v>
      </c>
      <c r="J269" s="5" t="s">
        <v>24</v>
      </c>
      <c r="K269" s="3" t="str">
        <f t="shared" si="4"/>
        <v>Mrs. Molly Jones MD</v>
      </c>
    </row>
    <row r="270" spans="1:11" x14ac:dyDescent="0.35">
      <c r="A270" s="4">
        <v>269</v>
      </c>
      <c r="B270" s="3" t="s">
        <v>292</v>
      </c>
      <c r="C270" s="3" t="s">
        <v>17</v>
      </c>
      <c r="D270" s="3" t="s">
        <v>18</v>
      </c>
      <c r="E270" s="3">
        <v>32819</v>
      </c>
      <c r="F270" s="3">
        <v>371394</v>
      </c>
      <c r="G270" s="3" t="s">
        <v>22</v>
      </c>
      <c r="H270" s="3" t="s">
        <v>14</v>
      </c>
      <c r="I270" s="3">
        <v>375</v>
      </c>
      <c r="J270" s="5" t="s">
        <v>15</v>
      </c>
      <c r="K270" s="3" t="str">
        <f t="shared" si="4"/>
        <v>Mrs. Molly Jones MD</v>
      </c>
    </row>
    <row r="271" spans="1:11" x14ac:dyDescent="0.35">
      <c r="A271" s="4">
        <v>270</v>
      </c>
      <c r="B271" s="3" t="s">
        <v>293</v>
      </c>
      <c r="C271" s="3" t="s">
        <v>11</v>
      </c>
      <c r="D271" s="3" t="s">
        <v>12</v>
      </c>
      <c r="E271" s="3">
        <v>119331</v>
      </c>
      <c r="F271" s="3">
        <v>25157</v>
      </c>
      <c r="G271" s="3" t="s">
        <v>13</v>
      </c>
      <c r="H271" s="3" t="s">
        <v>23</v>
      </c>
      <c r="I271" s="3">
        <v>711</v>
      </c>
      <c r="J271" s="5" t="s">
        <v>24</v>
      </c>
      <c r="K271" s="3" t="str">
        <f t="shared" si="4"/>
        <v>Patricia Nielsen</v>
      </c>
    </row>
    <row r="272" spans="1:11" x14ac:dyDescent="0.35">
      <c r="A272" s="4">
        <v>271</v>
      </c>
      <c r="B272" s="3" t="s">
        <v>294</v>
      </c>
      <c r="C272" s="3" t="s">
        <v>11</v>
      </c>
      <c r="D272" s="3" t="s">
        <v>21</v>
      </c>
      <c r="E272" s="3">
        <v>91032</v>
      </c>
      <c r="F272" s="3">
        <v>431809</v>
      </c>
      <c r="G272" s="3" t="s">
        <v>13</v>
      </c>
      <c r="H272" s="3" t="s">
        <v>19</v>
      </c>
      <c r="I272" s="3">
        <v>820</v>
      </c>
      <c r="J272" s="5" t="s">
        <v>24</v>
      </c>
      <c r="K272" s="3" t="str">
        <f t="shared" si="4"/>
        <v>Dr. Luis Adams</v>
      </c>
    </row>
    <row r="273" spans="1:11" x14ac:dyDescent="0.35">
      <c r="A273" s="4">
        <v>272</v>
      </c>
      <c r="B273" s="3" t="s">
        <v>295</v>
      </c>
      <c r="C273" s="3" t="s">
        <v>17</v>
      </c>
      <c r="D273" s="3" t="s">
        <v>21</v>
      </c>
      <c r="E273" s="3">
        <v>72660</v>
      </c>
      <c r="F273" s="3">
        <v>166881</v>
      </c>
      <c r="G273" s="3" t="s">
        <v>13</v>
      </c>
      <c r="H273" s="3" t="s">
        <v>26</v>
      </c>
      <c r="I273" s="3">
        <v>819</v>
      </c>
      <c r="J273" s="5" t="s">
        <v>15</v>
      </c>
      <c r="K273" s="3" t="str">
        <f t="shared" si="4"/>
        <v>Audrey Russell</v>
      </c>
    </row>
    <row r="274" spans="1:11" x14ac:dyDescent="0.35">
      <c r="A274" s="4">
        <v>273</v>
      </c>
      <c r="B274" s="3" t="s">
        <v>296</v>
      </c>
      <c r="C274" s="3" t="s">
        <v>17</v>
      </c>
      <c r="D274" s="3" t="s">
        <v>18</v>
      </c>
      <c r="E274" s="3">
        <v>26456</v>
      </c>
      <c r="F274" s="3">
        <v>335666</v>
      </c>
      <c r="G274" s="3" t="s">
        <v>22</v>
      </c>
      <c r="H274" s="3" t="s">
        <v>26</v>
      </c>
      <c r="I274" s="3">
        <v>533</v>
      </c>
      <c r="J274" s="5" t="s">
        <v>15</v>
      </c>
      <c r="K274" s="3" t="str">
        <f t="shared" si="4"/>
        <v>Audrey Russell</v>
      </c>
    </row>
    <row r="275" spans="1:11" x14ac:dyDescent="0.35">
      <c r="A275" s="4">
        <v>274</v>
      </c>
      <c r="B275" s="3" t="s">
        <v>297</v>
      </c>
      <c r="C275" s="3" t="s">
        <v>11</v>
      </c>
      <c r="D275" s="3" t="s">
        <v>18</v>
      </c>
      <c r="E275" s="3">
        <v>80522</v>
      </c>
      <c r="F275" s="3">
        <v>481612</v>
      </c>
      <c r="G275" s="3" t="s">
        <v>13</v>
      </c>
      <c r="H275" s="3" t="s">
        <v>14</v>
      </c>
      <c r="I275" s="3">
        <v>646</v>
      </c>
      <c r="J275" s="5" t="s">
        <v>32</v>
      </c>
      <c r="K275" s="3" t="str">
        <f t="shared" si="4"/>
        <v>Mrs. Molly Jones MD</v>
      </c>
    </row>
    <row r="276" spans="1:11" x14ac:dyDescent="0.35">
      <c r="A276" s="4">
        <v>275</v>
      </c>
      <c r="B276" s="3" t="s">
        <v>298</v>
      </c>
      <c r="C276" s="3" t="s">
        <v>17</v>
      </c>
      <c r="D276" s="3" t="s">
        <v>12</v>
      </c>
      <c r="E276" s="3">
        <v>24641</v>
      </c>
      <c r="F276" s="3">
        <v>185547</v>
      </c>
      <c r="G276" s="3" t="s">
        <v>22</v>
      </c>
      <c r="H276" s="3" t="s">
        <v>23</v>
      </c>
      <c r="I276" s="3">
        <v>624</v>
      </c>
      <c r="J276" s="5" t="s">
        <v>24</v>
      </c>
      <c r="K276" s="3" t="str">
        <f t="shared" si="4"/>
        <v>Patricia Nielsen</v>
      </c>
    </row>
    <row r="277" spans="1:11" x14ac:dyDescent="0.35">
      <c r="A277" s="4">
        <v>276</v>
      </c>
      <c r="B277" s="3" t="s">
        <v>299</v>
      </c>
      <c r="C277" s="3" t="s">
        <v>11</v>
      </c>
      <c r="D277" s="3" t="s">
        <v>21</v>
      </c>
      <c r="E277" s="3">
        <v>36798</v>
      </c>
      <c r="F277" s="3">
        <v>433338</v>
      </c>
      <c r="G277" s="3" t="s">
        <v>22</v>
      </c>
      <c r="H277" s="3" t="s">
        <v>23</v>
      </c>
      <c r="I277" s="3">
        <v>492</v>
      </c>
      <c r="J277" s="5" t="s">
        <v>15</v>
      </c>
      <c r="K277" s="3" t="str">
        <f t="shared" si="4"/>
        <v>Patricia Nielsen</v>
      </c>
    </row>
    <row r="278" spans="1:11" x14ac:dyDescent="0.35">
      <c r="A278" s="4">
        <v>277</v>
      </c>
      <c r="B278" s="3" t="s">
        <v>300</v>
      </c>
      <c r="C278" s="3" t="s">
        <v>11</v>
      </c>
      <c r="D278" s="3" t="s">
        <v>21</v>
      </c>
      <c r="E278" s="3">
        <v>94274</v>
      </c>
      <c r="F278" s="3">
        <v>152351</v>
      </c>
      <c r="G278" s="3" t="s">
        <v>22</v>
      </c>
      <c r="H278" s="3" t="s">
        <v>23</v>
      </c>
      <c r="I278" s="3">
        <v>560</v>
      </c>
      <c r="J278" s="5" t="s">
        <v>15</v>
      </c>
      <c r="K278" s="3" t="str">
        <f t="shared" si="4"/>
        <v>Patricia Nielsen</v>
      </c>
    </row>
    <row r="279" spans="1:11" x14ac:dyDescent="0.35">
      <c r="A279" s="4">
        <v>278</v>
      </c>
      <c r="B279" s="3" t="s">
        <v>301</v>
      </c>
      <c r="C279" s="3" t="s">
        <v>11</v>
      </c>
      <c r="D279" s="3" t="s">
        <v>12</v>
      </c>
      <c r="E279" s="3">
        <v>35211</v>
      </c>
      <c r="F279" s="3">
        <v>116267</v>
      </c>
      <c r="G279" s="3" t="s">
        <v>22</v>
      </c>
      <c r="H279" s="3" t="s">
        <v>19</v>
      </c>
      <c r="I279" s="3">
        <v>872</v>
      </c>
      <c r="J279" s="5" t="s">
        <v>24</v>
      </c>
      <c r="K279" s="3" t="str">
        <f t="shared" si="4"/>
        <v>Dr. Luis Adams</v>
      </c>
    </row>
    <row r="280" spans="1:11" x14ac:dyDescent="0.35">
      <c r="A280" s="4">
        <v>279</v>
      </c>
      <c r="B280" s="3" t="s">
        <v>302</v>
      </c>
      <c r="C280" s="3" t="s">
        <v>17</v>
      </c>
      <c r="D280" s="3" t="s">
        <v>21</v>
      </c>
      <c r="E280" s="3">
        <v>27880</v>
      </c>
      <c r="F280" s="3">
        <v>41626</v>
      </c>
      <c r="G280" s="3" t="s">
        <v>13</v>
      </c>
      <c r="H280" s="3" t="s">
        <v>23</v>
      </c>
      <c r="I280" s="3">
        <v>679</v>
      </c>
      <c r="J280" s="5" t="s">
        <v>15</v>
      </c>
      <c r="K280" s="3" t="str">
        <f t="shared" si="4"/>
        <v>Patricia Nielsen</v>
      </c>
    </row>
    <row r="281" spans="1:11" x14ac:dyDescent="0.35">
      <c r="A281" s="4">
        <v>280</v>
      </c>
      <c r="B281" s="3" t="s">
        <v>303</v>
      </c>
      <c r="C281" s="3" t="s">
        <v>17</v>
      </c>
      <c r="D281" s="3" t="s">
        <v>21</v>
      </c>
      <c r="E281" s="3">
        <v>70873</v>
      </c>
      <c r="F281" s="3">
        <v>299238</v>
      </c>
      <c r="G281" s="3" t="s">
        <v>22</v>
      </c>
      <c r="H281" s="3" t="s">
        <v>14</v>
      </c>
      <c r="I281" s="3">
        <v>418</v>
      </c>
      <c r="J281" s="5" t="s">
        <v>15</v>
      </c>
      <c r="K281" s="3" t="str">
        <f t="shared" si="4"/>
        <v>Mrs. Molly Jones MD</v>
      </c>
    </row>
    <row r="282" spans="1:11" x14ac:dyDescent="0.35">
      <c r="A282" s="4">
        <v>281</v>
      </c>
      <c r="B282" s="3" t="s">
        <v>304</v>
      </c>
      <c r="C282" s="3" t="s">
        <v>11</v>
      </c>
      <c r="D282" s="3" t="s">
        <v>21</v>
      </c>
      <c r="E282" s="3">
        <v>36700</v>
      </c>
      <c r="F282" s="3">
        <v>487559</v>
      </c>
      <c r="G282" s="3" t="s">
        <v>13</v>
      </c>
      <c r="H282" s="3" t="s">
        <v>19</v>
      </c>
      <c r="I282" s="3">
        <v>316</v>
      </c>
      <c r="J282" s="5" t="s">
        <v>32</v>
      </c>
      <c r="K282" s="3" t="str">
        <f t="shared" si="4"/>
        <v>Dr. Luis Adams</v>
      </c>
    </row>
    <row r="283" spans="1:11" x14ac:dyDescent="0.35">
      <c r="A283" s="4">
        <v>282</v>
      </c>
      <c r="B283" s="3" t="s">
        <v>305</v>
      </c>
      <c r="C283" s="3" t="s">
        <v>17</v>
      </c>
      <c r="D283" s="3" t="s">
        <v>21</v>
      </c>
      <c r="E283" s="3">
        <v>99755</v>
      </c>
      <c r="F283" s="3">
        <v>423778</v>
      </c>
      <c r="G283" s="3" t="s">
        <v>13</v>
      </c>
      <c r="H283" s="3" t="s">
        <v>23</v>
      </c>
      <c r="I283" s="3">
        <v>635</v>
      </c>
      <c r="J283" s="5" t="s">
        <v>32</v>
      </c>
      <c r="K283" s="3" t="str">
        <f t="shared" si="4"/>
        <v>Patricia Nielsen</v>
      </c>
    </row>
    <row r="284" spans="1:11" x14ac:dyDescent="0.35">
      <c r="A284" s="4">
        <v>283</v>
      </c>
      <c r="B284" s="3" t="s">
        <v>306</v>
      </c>
      <c r="C284" s="3" t="s">
        <v>17</v>
      </c>
      <c r="D284" s="3" t="s">
        <v>21</v>
      </c>
      <c r="E284" s="3">
        <v>71293</v>
      </c>
      <c r="F284" s="3">
        <v>247341</v>
      </c>
      <c r="G284" s="3" t="s">
        <v>13</v>
      </c>
      <c r="H284" s="3" t="s">
        <v>23</v>
      </c>
      <c r="I284" s="3">
        <v>856</v>
      </c>
      <c r="J284" s="5" t="s">
        <v>24</v>
      </c>
      <c r="K284" s="3" t="str">
        <f t="shared" si="4"/>
        <v>Patricia Nielsen</v>
      </c>
    </row>
    <row r="285" spans="1:11" x14ac:dyDescent="0.35">
      <c r="A285" s="4">
        <v>284</v>
      </c>
      <c r="B285" s="3" t="s">
        <v>307</v>
      </c>
      <c r="C285" s="3" t="s">
        <v>17</v>
      </c>
      <c r="D285" s="3" t="s">
        <v>12</v>
      </c>
      <c r="E285" s="3">
        <v>99410</v>
      </c>
      <c r="F285" s="3">
        <v>452100</v>
      </c>
      <c r="G285" s="3" t="s">
        <v>22</v>
      </c>
      <c r="H285" s="3" t="s">
        <v>23</v>
      </c>
      <c r="I285" s="3">
        <v>863</v>
      </c>
      <c r="J285" s="5" t="s">
        <v>15</v>
      </c>
      <c r="K285" s="3" t="str">
        <f t="shared" si="4"/>
        <v>Patricia Nielsen</v>
      </c>
    </row>
    <row r="286" spans="1:11" x14ac:dyDescent="0.35">
      <c r="A286" s="4">
        <v>285</v>
      </c>
      <c r="B286" s="3" t="s">
        <v>308</v>
      </c>
      <c r="C286" s="3" t="s">
        <v>11</v>
      </c>
      <c r="D286" s="3" t="s">
        <v>18</v>
      </c>
      <c r="E286" s="3">
        <v>20387</v>
      </c>
      <c r="F286" s="3">
        <v>182549</v>
      </c>
      <c r="G286" s="3" t="s">
        <v>13</v>
      </c>
      <c r="H286" s="3" t="s">
        <v>14</v>
      </c>
      <c r="I286" s="3">
        <v>351</v>
      </c>
      <c r="J286" s="5" t="s">
        <v>24</v>
      </c>
      <c r="K286" s="3" t="str">
        <f t="shared" si="4"/>
        <v>Mrs. Molly Jones MD</v>
      </c>
    </row>
    <row r="287" spans="1:11" x14ac:dyDescent="0.35">
      <c r="A287" s="4">
        <v>286</v>
      </c>
      <c r="B287" s="3" t="s">
        <v>309</v>
      </c>
      <c r="C287" s="3" t="s">
        <v>17</v>
      </c>
      <c r="D287" s="3" t="s">
        <v>18</v>
      </c>
      <c r="E287" s="3">
        <v>59784</v>
      </c>
      <c r="F287" s="3">
        <v>461545</v>
      </c>
      <c r="G287" s="3" t="s">
        <v>22</v>
      </c>
      <c r="H287" s="3" t="s">
        <v>26</v>
      </c>
      <c r="I287" s="3">
        <v>693</v>
      </c>
      <c r="J287" s="5" t="s">
        <v>24</v>
      </c>
      <c r="K287" s="3" t="str">
        <f t="shared" si="4"/>
        <v>Audrey Russell</v>
      </c>
    </row>
    <row r="288" spans="1:11" x14ac:dyDescent="0.35">
      <c r="A288" s="4">
        <v>287</v>
      </c>
      <c r="B288" s="3" t="s">
        <v>310</v>
      </c>
      <c r="C288" s="3" t="s">
        <v>11</v>
      </c>
      <c r="D288" s="3" t="s">
        <v>18</v>
      </c>
      <c r="E288" s="3">
        <v>99319</v>
      </c>
      <c r="F288" s="3">
        <v>364193</v>
      </c>
      <c r="G288" s="3" t="s">
        <v>22</v>
      </c>
      <c r="H288" s="3" t="s">
        <v>26</v>
      </c>
      <c r="I288" s="3">
        <v>623</v>
      </c>
      <c r="J288" s="5" t="s">
        <v>24</v>
      </c>
      <c r="K288" s="3" t="str">
        <f t="shared" si="4"/>
        <v>Audrey Russell</v>
      </c>
    </row>
    <row r="289" spans="1:11" x14ac:dyDescent="0.35">
      <c r="A289" s="4">
        <v>288</v>
      </c>
      <c r="B289" s="3" t="s">
        <v>311</v>
      </c>
      <c r="C289" s="3" t="s">
        <v>17</v>
      </c>
      <c r="D289" s="3" t="s">
        <v>21</v>
      </c>
      <c r="E289" s="3">
        <v>50820</v>
      </c>
      <c r="F289" s="3">
        <v>145411</v>
      </c>
      <c r="G289" s="3" t="s">
        <v>22</v>
      </c>
      <c r="H289" s="3" t="s">
        <v>23</v>
      </c>
      <c r="I289" s="3">
        <v>530</v>
      </c>
      <c r="J289" s="5" t="s">
        <v>24</v>
      </c>
      <c r="K289" s="3" t="str">
        <f t="shared" si="4"/>
        <v>Patricia Nielsen</v>
      </c>
    </row>
    <row r="290" spans="1:11" x14ac:dyDescent="0.35">
      <c r="A290" s="4">
        <v>289</v>
      </c>
      <c r="B290" s="3" t="s">
        <v>312</v>
      </c>
      <c r="C290" s="3" t="s">
        <v>17</v>
      </c>
      <c r="D290" s="3" t="s">
        <v>12</v>
      </c>
      <c r="E290" s="3">
        <v>47686</v>
      </c>
      <c r="F290" s="3">
        <v>353219</v>
      </c>
      <c r="G290" s="3" t="s">
        <v>22</v>
      </c>
      <c r="H290" s="3" t="s">
        <v>19</v>
      </c>
      <c r="I290" s="3">
        <v>592</v>
      </c>
      <c r="J290" s="5" t="s">
        <v>32</v>
      </c>
      <c r="K290" s="3" t="str">
        <f t="shared" si="4"/>
        <v>Dr. Luis Adams</v>
      </c>
    </row>
    <row r="291" spans="1:11" x14ac:dyDescent="0.35">
      <c r="A291" s="4">
        <v>290</v>
      </c>
      <c r="B291" s="3" t="s">
        <v>313</v>
      </c>
      <c r="C291" s="3" t="s">
        <v>11</v>
      </c>
      <c r="D291" s="3" t="s">
        <v>18</v>
      </c>
      <c r="E291" s="3">
        <v>79465</v>
      </c>
      <c r="F291" s="3">
        <v>290336</v>
      </c>
      <c r="G291" s="3" t="s">
        <v>22</v>
      </c>
      <c r="H291" s="3" t="s">
        <v>23</v>
      </c>
      <c r="I291" s="3">
        <v>818</v>
      </c>
      <c r="J291" s="5" t="s">
        <v>24</v>
      </c>
      <c r="K291" s="3" t="str">
        <f t="shared" si="4"/>
        <v>Patricia Nielsen</v>
      </c>
    </row>
    <row r="292" spans="1:11" x14ac:dyDescent="0.35">
      <c r="A292" s="4">
        <v>291</v>
      </c>
      <c r="B292" s="3" t="s">
        <v>314</v>
      </c>
      <c r="C292" s="3" t="s">
        <v>11</v>
      </c>
      <c r="D292" s="3" t="s">
        <v>21</v>
      </c>
      <c r="E292" s="3">
        <v>57322</v>
      </c>
      <c r="F292" s="3">
        <v>33691</v>
      </c>
      <c r="G292" s="3" t="s">
        <v>22</v>
      </c>
      <c r="H292" s="3" t="s">
        <v>14</v>
      </c>
      <c r="I292" s="3">
        <v>485</v>
      </c>
      <c r="J292" s="5" t="s">
        <v>24</v>
      </c>
      <c r="K292" s="3" t="str">
        <f t="shared" si="4"/>
        <v>Mrs. Molly Jones MD</v>
      </c>
    </row>
    <row r="293" spans="1:11" x14ac:dyDescent="0.35">
      <c r="A293" s="4">
        <v>292</v>
      </c>
      <c r="B293" s="3" t="s">
        <v>315</v>
      </c>
      <c r="C293" s="3" t="s">
        <v>11</v>
      </c>
      <c r="D293" s="3" t="s">
        <v>21</v>
      </c>
      <c r="E293" s="3">
        <v>41815</v>
      </c>
      <c r="F293" s="3">
        <v>349098</v>
      </c>
      <c r="G293" s="3" t="s">
        <v>13</v>
      </c>
      <c r="H293" s="3" t="s">
        <v>19</v>
      </c>
      <c r="I293" s="3">
        <v>523</v>
      </c>
      <c r="J293" s="5" t="s">
        <v>32</v>
      </c>
      <c r="K293" s="3" t="str">
        <f t="shared" si="4"/>
        <v>Dr. Luis Adams</v>
      </c>
    </row>
    <row r="294" spans="1:11" x14ac:dyDescent="0.35">
      <c r="A294" s="4">
        <v>293</v>
      </c>
      <c r="B294" s="3" t="s">
        <v>316</v>
      </c>
      <c r="C294" s="3" t="s">
        <v>17</v>
      </c>
      <c r="D294" s="3" t="s">
        <v>12</v>
      </c>
      <c r="E294" s="3">
        <v>36440</v>
      </c>
      <c r="F294" s="3">
        <v>409022</v>
      </c>
      <c r="G294" s="3" t="s">
        <v>22</v>
      </c>
      <c r="H294" s="3" t="s">
        <v>14</v>
      </c>
      <c r="I294" s="3">
        <v>778</v>
      </c>
      <c r="J294" s="5" t="s">
        <v>15</v>
      </c>
      <c r="K294" s="3" t="str">
        <f t="shared" si="4"/>
        <v>Mrs. Molly Jones MD</v>
      </c>
    </row>
    <row r="295" spans="1:11" x14ac:dyDescent="0.35">
      <c r="A295" s="4">
        <v>294</v>
      </c>
      <c r="B295" s="3" t="s">
        <v>317</v>
      </c>
      <c r="C295" s="3" t="s">
        <v>17</v>
      </c>
      <c r="D295" s="3" t="s">
        <v>21</v>
      </c>
      <c r="E295" s="3">
        <v>58353</v>
      </c>
      <c r="F295" s="3">
        <v>93491</v>
      </c>
      <c r="G295" s="3" t="s">
        <v>22</v>
      </c>
      <c r="H295" s="3" t="s">
        <v>23</v>
      </c>
      <c r="I295" s="3">
        <v>791</v>
      </c>
      <c r="J295" s="5" t="s">
        <v>32</v>
      </c>
      <c r="K295" s="3" t="str">
        <f t="shared" si="4"/>
        <v>Patricia Nielsen</v>
      </c>
    </row>
    <row r="296" spans="1:11" x14ac:dyDescent="0.35">
      <c r="A296" s="4">
        <v>295</v>
      </c>
      <c r="B296" s="3" t="s">
        <v>318</v>
      </c>
      <c r="C296" s="3" t="s">
        <v>11</v>
      </c>
      <c r="D296" s="3" t="s">
        <v>18</v>
      </c>
      <c r="E296" s="3">
        <v>29891</v>
      </c>
      <c r="F296" s="3">
        <v>396075</v>
      </c>
      <c r="G296" s="3" t="s">
        <v>22</v>
      </c>
      <c r="H296" s="3" t="s">
        <v>14</v>
      </c>
      <c r="I296" s="3">
        <v>615</v>
      </c>
      <c r="J296" s="5" t="s">
        <v>15</v>
      </c>
      <c r="K296" s="3" t="str">
        <f t="shared" si="4"/>
        <v>Mrs. Molly Jones MD</v>
      </c>
    </row>
    <row r="297" spans="1:11" x14ac:dyDescent="0.35">
      <c r="A297" s="4">
        <v>296</v>
      </c>
      <c r="B297" s="3" t="s">
        <v>319</v>
      </c>
      <c r="C297" s="3" t="s">
        <v>11</v>
      </c>
      <c r="D297" s="3" t="s">
        <v>18</v>
      </c>
      <c r="E297" s="3">
        <v>87364</v>
      </c>
      <c r="F297" s="3">
        <v>95886</v>
      </c>
      <c r="G297" s="3" t="s">
        <v>13</v>
      </c>
      <c r="H297" s="3" t="s">
        <v>23</v>
      </c>
      <c r="I297" s="3">
        <v>479</v>
      </c>
      <c r="J297" s="5" t="s">
        <v>32</v>
      </c>
      <c r="K297" s="3" t="str">
        <f t="shared" si="4"/>
        <v>Patricia Nielsen</v>
      </c>
    </row>
    <row r="298" spans="1:11" x14ac:dyDescent="0.35">
      <c r="A298" s="4">
        <v>297</v>
      </c>
      <c r="B298" s="3" t="s">
        <v>320</v>
      </c>
      <c r="C298" s="3" t="s">
        <v>11</v>
      </c>
      <c r="D298" s="3" t="s">
        <v>18</v>
      </c>
      <c r="E298" s="3">
        <v>40746</v>
      </c>
      <c r="F298" s="3">
        <v>332645</v>
      </c>
      <c r="G298" s="3" t="s">
        <v>22</v>
      </c>
      <c r="H298" s="3" t="s">
        <v>23</v>
      </c>
      <c r="I298" s="3">
        <v>501</v>
      </c>
      <c r="J298" s="5" t="s">
        <v>24</v>
      </c>
      <c r="K298" s="3" t="str">
        <f t="shared" si="4"/>
        <v>Patricia Nielsen</v>
      </c>
    </row>
    <row r="299" spans="1:11" x14ac:dyDescent="0.35">
      <c r="A299" s="4">
        <v>298</v>
      </c>
      <c r="B299" s="3" t="s">
        <v>321</v>
      </c>
      <c r="C299" s="3" t="s">
        <v>11</v>
      </c>
      <c r="D299" s="3" t="s">
        <v>18</v>
      </c>
      <c r="E299" s="3">
        <v>24962</v>
      </c>
      <c r="F299" s="3">
        <v>188749</v>
      </c>
      <c r="G299" s="3" t="s">
        <v>13</v>
      </c>
      <c r="H299" s="3" t="s">
        <v>19</v>
      </c>
      <c r="I299" s="3">
        <v>681</v>
      </c>
      <c r="J299" s="5" t="s">
        <v>24</v>
      </c>
      <c r="K299" s="3" t="str">
        <f t="shared" si="4"/>
        <v>Dr. Luis Adams</v>
      </c>
    </row>
    <row r="300" spans="1:11" x14ac:dyDescent="0.35">
      <c r="A300" s="4">
        <v>299</v>
      </c>
      <c r="B300" s="3" t="s">
        <v>322</v>
      </c>
      <c r="C300" s="3" t="s">
        <v>17</v>
      </c>
      <c r="D300" s="3" t="s">
        <v>18</v>
      </c>
      <c r="E300" s="3">
        <v>82827</v>
      </c>
      <c r="F300" s="3">
        <v>149823</v>
      </c>
      <c r="G300" s="3" t="s">
        <v>13</v>
      </c>
      <c r="H300" s="3" t="s">
        <v>19</v>
      </c>
      <c r="I300" s="3">
        <v>378</v>
      </c>
      <c r="J300" s="5" t="s">
        <v>15</v>
      </c>
      <c r="K300" s="3" t="str">
        <f t="shared" si="4"/>
        <v>Dr. Luis Adams</v>
      </c>
    </row>
    <row r="301" spans="1:11" x14ac:dyDescent="0.35">
      <c r="A301" s="4">
        <v>300</v>
      </c>
      <c r="B301" s="3" t="s">
        <v>323</v>
      </c>
      <c r="C301" s="3" t="s">
        <v>17</v>
      </c>
      <c r="D301" s="3" t="s">
        <v>18</v>
      </c>
      <c r="E301" s="3">
        <v>55970</v>
      </c>
      <c r="F301" s="3">
        <v>24841</v>
      </c>
      <c r="G301" s="3" t="s">
        <v>13</v>
      </c>
      <c r="H301" s="3" t="s">
        <v>26</v>
      </c>
      <c r="I301" s="3">
        <v>694</v>
      </c>
      <c r="J301" s="5" t="s">
        <v>24</v>
      </c>
      <c r="K301" s="3" t="str">
        <f t="shared" si="4"/>
        <v>Audrey Russell</v>
      </c>
    </row>
    <row r="302" spans="1:11" x14ac:dyDescent="0.35">
      <c r="A302" s="4">
        <v>301</v>
      </c>
      <c r="B302" s="3" t="s">
        <v>324</v>
      </c>
      <c r="C302" s="3" t="s">
        <v>17</v>
      </c>
      <c r="D302" s="3" t="s">
        <v>12</v>
      </c>
      <c r="E302" s="3">
        <v>48302</v>
      </c>
      <c r="F302" s="3">
        <v>180550</v>
      </c>
      <c r="G302" s="3" t="s">
        <v>22</v>
      </c>
      <c r="H302" s="3" t="s">
        <v>14</v>
      </c>
      <c r="I302" s="3">
        <v>813</v>
      </c>
      <c r="J302" s="5" t="s">
        <v>24</v>
      </c>
      <c r="K302" s="3" t="str">
        <f t="shared" si="4"/>
        <v>Mrs. Molly Jones MD</v>
      </c>
    </row>
    <row r="303" spans="1:11" x14ac:dyDescent="0.35">
      <c r="A303" s="4">
        <v>302</v>
      </c>
      <c r="B303" s="3" t="s">
        <v>325</v>
      </c>
      <c r="C303" s="3" t="s">
        <v>11</v>
      </c>
      <c r="D303" s="3" t="s">
        <v>21</v>
      </c>
      <c r="E303" s="3">
        <v>29605</v>
      </c>
      <c r="F303" s="3">
        <v>315951</v>
      </c>
      <c r="G303" s="3" t="s">
        <v>13</v>
      </c>
      <c r="H303" s="3" t="s">
        <v>26</v>
      </c>
      <c r="I303" s="3">
        <v>335</v>
      </c>
      <c r="J303" s="5" t="s">
        <v>24</v>
      </c>
      <c r="K303" s="3" t="str">
        <f t="shared" si="4"/>
        <v>Audrey Russell</v>
      </c>
    </row>
    <row r="304" spans="1:11" x14ac:dyDescent="0.35">
      <c r="A304" s="4">
        <v>303</v>
      </c>
      <c r="B304" s="3" t="s">
        <v>326</v>
      </c>
      <c r="C304" s="3" t="s">
        <v>11</v>
      </c>
      <c r="D304" s="3" t="s">
        <v>21</v>
      </c>
      <c r="E304" s="3">
        <v>68119</v>
      </c>
      <c r="F304" s="3">
        <v>252363</v>
      </c>
      <c r="G304" s="3" t="s">
        <v>13</v>
      </c>
      <c r="H304" s="3" t="s">
        <v>23</v>
      </c>
      <c r="I304" s="3">
        <v>826</v>
      </c>
      <c r="J304" s="5" t="s">
        <v>15</v>
      </c>
      <c r="K304" s="3" t="str">
        <f t="shared" si="4"/>
        <v>Patricia Nielsen</v>
      </c>
    </row>
    <row r="305" spans="1:11" x14ac:dyDescent="0.35">
      <c r="A305" s="4">
        <v>304</v>
      </c>
      <c r="B305" s="3" t="s">
        <v>327</v>
      </c>
      <c r="C305" s="3" t="s">
        <v>17</v>
      </c>
      <c r="D305" s="3" t="s">
        <v>21</v>
      </c>
      <c r="E305" s="3">
        <v>78789</v>
      </c>
      <c r="F305" s="3">
        <v>226806</v>
      </c>
      <c r="G305" s="3" t="s">
        <v>13</v>
      </c>
      <c r="H305" s="3" t="s">
        <v>26</v>
      </c>
      <c r="I305" s="3">
        <v>487</v>
      </c>
      <c r="J305" s="5" t="s">
        <v>24</v>
      </c>
      <c r="K305" s="3" t="str">
        <f t="shared" si="4"/>
        <v>Audrey Russell</v>
      </c>
    </row>
    <row r="306" spans="1:11" x14ac:dyDescent="0.35">
      <c r="A306" s="4">
        <v>305</v>
      </c>
      <c r="B306" s="3" t="s">
        <v>328</v>
      </c>
      <c r="C306" s="3" t="s">
        <v>11</v>
      </c>
      <c r="D306" s="3" t="s">
        <v>18</v>
      </c>
      <c r="E306" s="3">
        <v>52562</v>
      </c>
      <c r="F306" s="3">
        <v>384103</v>
      </c>
      <c r="G306" s="3" t="s">
        <v>13</v>
      </c>
      <c r="H306" s="3" t="s">
        <v>23</v>
      </c>
      <c r="I306" s="3">
        <v>578</v>
      </c>
      <c r="J306" s="5" t="s">
        <v>32</v>
      </c>
      <c r="K306" s="3" t="str">
        <f t="shared" si="4"/>
        <v>Patricia Nielsen</v>
      </c>
    </row>
    <row r="307" spans="1:11" x14ac:dyDescent="0.35">
      <c r="A307" s="4">
        <v>306</v>
      </c>
      <c r="B307" s="3" t="s">
        <v>329</v>
      </c>
      <c r="C307" s="3" t="s">
        <v>17</v>
      </c>
      <c r="D307" s="3" t="s">
        <v>18</v>
      </c>
      <c r="E307" s="3">
        <v>56998</v>
      </c>
      <c r="F307" s="3">
        <v>461788</v>
      </c>
      <c r="G307" s="3" t="s">
        <v>13</v>
      </c>
      <c r="H307" s="3" t="s">
        <v>14</v>
      </c>
      <c r="I307" s="3">
        <v>371</v>
      </c>
      <c r="J307" s="5" t="s">
        <v>24</v>
      </c>
      <c r="K307" s="3" t="str">
        <f t="shared" si="4"/>
        <v>Mrs. Molly Jones MD</v>
      </c>
    </row>
    <row r="308" spans="1:11" x14ac:dyDescent="0.35">
      <c r="A308" s="4">
        <v>307</v>
      </c>
      <c r="B308" s="3" t="s">
        <v>330</v>
      </c>
      <c r="C308" s="3" t="s">
        <v>11</v>
      </c>
      <c r="D308" s="3" t="s">
        <v>21</v>
      </c>
      <c r="E308" s="3">
        <v>99817</v>
      </c>
      <c r="F308" s="3">
        <v>340127</v>
      </c>
      <c r="G308" s="3" t="s">
        <v>13</v>
      </c>
      <c r="H308" s="3" t="s">
        <v>26</v>
      </c>
      <c r="I308" s="3">
        <v>597</v>
      </c>
      <c r="J308" s="5" t="s">
        <v>32</v>
      </c>
      <c r="K308" s="3" t="str">
        <f t="shared" si="4"/>
        <v>Audrey Russell</v>
      </c>
    </row>
    <row r="309" spans="1:11" x14ac:dyDescent="0.35">
      <c r="A309" s="4">
        <v>308</v>
      </c>
      <c r="B309" s="3" t="s">
        <v>331</v>
      </c>
      <c r="C309" s="3" t="s">
        <v>11</v>
      </c>
      <c r="D309" s="3" t="s">
        <v>21</v>
      </c>
      <c r="E309" s="3">
        <v>52465</v>
      </c>
      <c r="F309" s="3">
        <v>169612</v>
      </c>
      <c r="G309" s="3" t="s">
        <v>22</v>
      </c>
      <c r="H309" s="3" t="s">
        <v>19</v>
      </c>
      <c r="I309" s="3">
        <v>581</v>
      </c>
      <c r="J309" s="5" t="s">
        <v>24</v>
      </c>
      <c r="K309" s="3" t="str">
        <f t="shared" si="4"/>
        <v>Dr. Luis Adams</v>
      </c>
    </row>
    <row r="310" spans="1:11" x14ac:dyDescent="0.35">
      <c r="A310" s="4">
        <v>309</v>
      </c>
      <c r="B310" s="3" t="s">
        <v>332</v>
      </c>
      <c r="C310" s="3" t="s">
        <v>17</v>
      </c>
      <c r="D310" s="3" t="s">
        <v>21</v>
      </c>
      <c r="E310" s="3">
        <v>107880</v>
      </c>
      <c r="F310" s="3">
        <v>429814</v>
      </c>
      <c r="G310" s="3" t="s">
        <v>22</v>
      </c>
      <c r="H310" s="3" t="s">
        <v>19</v>
      </c>
      <c r="I310" s="3">
        <v>706</v>
      </c>
      <c r="J310" s="5" t="s">
        <v>32</v>
      </c>
      <c r="K310" s="3" t="str">
        <f t="shared" si="4"/>
        <v>Dr. Luis Adams</v>
      </c>
    </row>
    <row r="311" spans="1:11" x14ac:dyDescent="0.35">
      <c r="A311" s="4">
        <v>310</v>
      </c>
      <c r="B311" s="3" t="s">
        <v>333</v>
      </c>
      <c r="C311" s="3" t="s">
        <v>17</v>
      </c>
      <c r="D311" s="3" t="s">
        <v>12</v>
      </c>
      <c r="E311" s="3">
        <v>86918</v>
      </c>
      <c r="F311" s="3">
        <v>124902</v>
      </c>
      <c r="G311" s="3" t="s">
        <v>13</v>
      </c>
      <c r="H311" s="3" t="s">
        <v>19</v>
      </c>
      <c r="I311" s="3">
        <v>627</v>
      </c>
      <c r="J311" s="5" t="s">
        <v>32</v>
      </c>
      <c r="K311" s="3" t="str">
        <f t="shared" si="4"/>
        <v>Dr. Luis Adams</v>
      </c>
    </row>
    <row r="312" spans="1:11" x14ac:dyDescent="0.35">
      <c r="A312" s="4">
        <v>311</v>
      </c>
      <c r="B312" s="3" t="s">
        <v>334</v>
      </c>
      <c r="C312" s="3" t="s">
        <v>17</v>
      </c>
      <c r="D312" s="3" t="s">
        <v>12</v>
      </c>
      <c r="E312" s="3">
        <v>87672</v>
      </c>
      <c r="F312" s="3">
        <v>480733</v>
      </c>
      <c r="G312" s="3" t="s">
        <v>22</v>
      </c>
      <c r="H312" s="3" t="s">
        <v>14</v>
      </c>
      <c r="I312" s="3">
        <v>843</v>
      </c>
      <c r="J312" s="5" t="s">
        <v>32</v>
      </c>
      <c r="K312" s="3" t="str">
        <f t="shared" si="4"/>
        <v>Mrs. Molly Jones MD</v>
      </c>
    </row>
    <row r="313" spans="1:11" x14ac:dyDescent="0.35">
      <c r="A313" s="4">
        <v>312</v>
      </c>
      <c r="B313" s="3" t="s">
        <v>335</v>
      </c>
      <c r="C313" s="3" t="s">
        <v>11</v>
      </c>
      <c r="D313" s="3" t="s">
        <v>12</v>
      </c>
      <c r="E313" s="3">
        <v>115510</v>
      </c>
      <c r="F313" s="3">
        <v>196330</v>
      </c>
      <c r="G313" s="3" t="s">
        <v>22</v>
      </c>
      <c r="H313" s="3" t="s">
        <v>23</v>
      </c>
      <c r="I313" s="3">
        <v>365</v>
      </c>
      <c r="J313" s="5" t="s">
        <v>24</v>
      </c>
      <c r="K313" s="3" t="str">
        <f t="shared" si="4"/>
        <v>Patricia Nielsen</v>
      </c>
    </row>
    <row r="314" spans="1:11" x14ac:dyDescent="0.35">
      <c r="A314" s="4">
        <v>313</v>
      </c>
      <c r="B314" s="3" t="s">
        <v>336</v>
      </c>
      <c r="C314" s="3" t="s">
        <v>17</v>
      </c>
      <c r="D314" s="3" t="s">
        <v>21</v>
      </c>
      <c r="E314" s="3">
        <v>39485</v>
      </c>
      <c r="F314" s="3">
        <v>280179</v>
      </c>
      <c r="G314" s="3" t="s">
        <v>22</v>
      </c>
      <c r="H314" s="3" t="s">
        <v>23</v>
      </c>
      <c r="I314" s="3">
        <v>368</v>
      </c>
      <c r="J314" s="5" t="s">
        <v>15</v>
      </c>
      <c r="K314" s="3" t="str">
        <f t="shared" si="4"/>
        <v>Patricia Nielsen</v>
      </c>
    </row>
    <row r="315" spans="1:11" x14ac:dyDescent="0.35">
      <c r="A315" s="4">
        <v>314</v>
      </c>
      <c r="B315" s="3" t="s">
        <v>337</v>
      </c>
      <c r="C315" s="3" t="s">
        <v>11</v>
      </c>
      <c r="D315" s="3" t="s">
        <v>18</v>
      </c>
      <c r="E315" s="3">
        <v>21098</v>
      </c>
      <c r="F315" s="3">
        <v>438328</v>
      </c>
      <c r="G315" s="3" t="s">
        <v>13</v>
      </c>
      <c r="H315" s="3" t="s">
        <v>23</v>
      </c>
      <c r="I315" s="3">
        <v>580</v>
      </c>
      <c r="J315" s="5" t="s">
        <v>15</v>
      </c>
      <c r="K315" s="3" t="str">
        <f t="shared" si="4"/>
        <v>Patricia Nielsen</v>
      </c>
    </row>
    <row r="316" spans="1:11" x14ac:dyDescent="0.35">
      <c r="A316" s="4">
        <v>315</v>
      </c>
      <c r="B316" s="3" t="s">
        <v>338</v>
      </c>
      <c r="C316" s="3" t="s">
        <v>11</v>
      </c>
      <c r="D316" s="3" t="s">
        <v>12</v>
      </c>
      <c r="E316" s="3">
        <v>75801</v>
      </c>
      <c r="F316" s="3">
        <v>69697</v>
      </c>
      <c r="G316" s="3" t="s">
        <v>13</v>
      </c>
      <c r="H316" s="3" t="s">
        <v>19</v>
      </c>
      <c r="I316" s="3">
        <v>516</v>
      </c>
      <c r="J316" s="5" t="s">
        <v>15</v>
      </c>
      <c r="K316" s="3" t="str">
        <f t="shared" si="4"/>
        <v>Dr. Luis Adams</v>
      </c>
    </row>
    <row r="317" spans="1:11" x14ac:dyDescent="0.35">
      <c r="A317" s="4">
        <v>316</v>
      </c>
      <c r="B317" s="3" t="s">
        <v>339</v>
      </c>
      <c r="C317" s="3" t="s">
        <v>11</v>
      </c>
      <c r="D317" s="3" t="s">
        <v>18</v>
      </c>
      <c r="E317" s="3">
        <v>111773</v>
      </c>
      <c r="F317" s="3">
        <v>323316</v>
      </c>
      <c r="G317" s="3" t="s">
        <v>13</v>
      </c>
      <c r="H317" s="3" t="s">
        <v>23</v>
      </c>
      <c r="I317" s="3">
        <v>308</v>
      </c>
      <c r="J317" s="5" t="s">
        <v>32</v>
      </c>
      <c r="K317" s="3" t="str">
        <f t="shared" si="4"/>
        <v>Patricia Nielsen</v>
      </c>
    </row>
    <row r="318" spans="1:11" x14ac:dyDescent="0.35">
      <c r="A318" s="4">
        <v>317</v>
      </c>
      <c r="B318" s="3" t="s">
        <v>340</v>
      </c>
      <c r="C318" s="3" t="s">
        <v>17</v>
      </c>
      <c r="D318" s="3" t="s">
        <v>18</v>
      </c>
      <c r="E318" s="3">
        <v>97852</v>
      </c>
      <c r="F318" s="3">
        <v>261800</v>
      </c>
      <c r="G318" s="3" t="s">
        <v>13</v>
      </c>
      <c r="H318" s="3" t="s">
        <v>26</v>
      </c>
      <c r="I318" s="3">
        <v>520</v>
      </c>
      <c r="J318" s="5" t="s">
        <v>32</v>
      </c>
      <c r="K318" s="3" t="str">
        <f t="shared" si="4"/>
        <v>Audrey Russell</v>
      </c>
    </row>
    <row r="319" spans="1:11" x14ac:dyDescent="0.35">
      <c r="A319" s="4">
        <v>318</v>
      </c>
      <c r="B319" s="3" t="s">
        <v>341</v>
      </c>
      <c r="C319" s="3" t="s">
        <v>17</v>
      </c>
      <c r="D319" s="3" t="s">
        <v>21</v>
      </c>
      <c r="E319" s="3">
        <v>88865</v>
      </c>
      <c r="F319" s="3">
        <v>141613</v>
      </c>
      <c r="G319" s="3" t="s">
        <v>22</v>
      </c>
      <c r="H319" s="3" t="s">
        <v>23</v>
      </c>
      <c r="I319" s="3">
        <v>641</v>
      </c>
      <c r="J319" s="5" t="s">
        <v>24</v>
      </c>
      <c r="K319" s="3" t="str">
        <f t="shared" si="4"/>
        <v>Patricia Nielsen</v>
      </c>
    </row>
    <row r="320" spans="1:11" x14ac:dyDescent="0.35">
      <c r="A320" s="4">
        <v>319</v>
      </c>
      <c r="B320" s="3" t="s">
        <v>342</v>
      </c>
      <c r="C320" s="3" t="s">
        <v>17</v>
      </c>
      <c r="D320" s="3" t="s">
        <v>21</v>
      </c>
      <c r="E320" s="3">
        <v>119147</v>
      </c>
      <c r="F320" s="3">
        <v>72184</v>
      </c>
      <c r="G320" s="3" t="s">
        <v>22</v>
      </c>
      <c r="H320" s="3" t="s">
        <v>26</v>
      </c>
      <c r="I320" s="3">
        <v>486</v>
      </c>
      <c r="J320" s="5" t="s">
        <v>15</v>
      </c>
      <c r="K320" s="3" t="str">
        <f t="shared" si="4"/>
        <v>Audrey Russell</v>
      </c>
    </row>
    <row r="321" spans="1:11" x14ac:dyDescent="0.35">
      <c r="A321" s="4">
        <v>320</v>
      </c>
      <c r="B321" s="3" t="s">
        <v>343</v>
      </c>
      <c r="C321" s="3" t="s">
        <v>11</v>
      </c>
      <c r="D321" s="3" t="s">
        <v>12</v>
      </c>
      <c r="E321" s="3">
        <v>71823</v>
      </c>
      <c r="F321" s="3">
        <v>31223</v>
      </c>
      <c r="G321" s="3" t="s">
        <v>13</v>
      </c>
      <c r="H321" s="3" t="s">
        <v>14</v>
      </c>
      <c r="I321" s="3">
        <v>718</v>
      </c>
      <c r="J321" s="5" t="s">
        <v>24</v>
      </c>
      <c r="K321" s="3" t="str">
        <f t="shared" si="4"/>
        <v>Mrs. Molly Jones MD</v>
      </c>
    </row>
    <row r="322" spans="1:11" x14ac:dyDescent="0.35">
      <c r="A322" s="4">
        <v>321</v>
      </c>
      <c r="B322" s="3" t="s">
        <v>344</v>
      </c>
      <c r="C322" s="3" t="s">
        <v>17</v>
      </c>
      <c r="D322" s="3" t="s">
        <v>21</v>
      </c>
      <c r="E322" s="3">
        <v>36392</v>
      </c>
      <c r="F322" s="3">
        <v>198220</v>
      </c>
      <c r="G322" s="3" t="s">
        <v>13</v>
      </c>
      <c r="H322" s="3" t="s">
        <v>26</v>
      </c>
      <c r="I322" s="3">
        <v>721</v>
      </c>
      <c r="J322" s="5" t="s">
        <v>24</v>
      </c>
      <c r="K322" s="3" t="str">
        <f t="shared" ref="K322:K385" si="5">_xlfn.XLOOKUP(H322,$M$2:$M$5,$N$2:$N$5)</f>
        <v>Audrey Russell</v>
      </c>
    </row>
    <row r="323" spans="1:11" x14ac:dyDescent="0.35">
      <c r="A323" s="4">
        <v>322</v>
      </c>
      <c r="B323" s="3" t="s">
        <v>345</v>
      </c>
      <c r="C323" s="3" t="s">
        <v>17</v>
      </c>
      <c r="D323" s="3" t="s">
        <v>12</v>
      </c>
      <c r="E323" s="3">
        <v>42053</v>
      </c>
      <c r="F323" s="3">
        <v>52908</v>
      </c>
      <c r="G323" s="3" t="s">
        <v>22</v>
      </c>
      <c r="H323" s="3" t="s">
        <v>23</v>
      </c>
      <c r="I323" s="3">
        <v>795</v>
      </c>
      <c r="J323" s="5" t="s">
        <v>15</v>
      </c>
      <c r="K323" s="3" t="str">
        <f t="shared" si="5"/>
        <v>Patricia Nielsen</v>
      </c>
    </row>
    <row r="324" spans="1:11" x14ac:dyDescent="0.35">
      <c r="A324" s="4">
        <v>323</v>
      </c>
      <c r="B324" s="3" t="s">
        <v>346</v>
      </c>
      <c r="C324" s="3" t="s">
        <v>17</v>
      </c>
      <c r="D324" s="3" t="s">
        <v>18</v>
      </c>
      <c r="E324" s="3">
        <v>37646</v>
      </c>
      <c r="F324" s="3">
        <v>35899</v>
      </c>
      <c r="G324" s="3" t="s">
        <v>22</v>
      </c>
      <c r="H324" s="3" t="s">
        <v>14</v>
      </c>
      <c r="I324" s="3">
        <v>300</v>
      </c>
      <c r="J324" s="5" t="s">
        <v>24</v>
      </c>
      <c r="K324" s="3" t="str">
        <f t="shared" si="5"/>
        <v>Mrs. Molly Jones MD</v>
      </c>
    </row>
    <row r="325" spans="1:11" x14ac:dyDescent="0.35">
      <c r="A325" s="4">
        <v>324</v>
      </c>
      <c r="B325" s="3" t="s">
        <v>347</v>
      </c>
      <c r="C325" s="3" t="s">
        <v>17</v>
      </c>
      <c r="D325" s="3" t="s">
        <v>21</v>
      </c>
      <c r="E325" s="3">
        <v>30594</v>
      </c>
      <c r="F325" s="3">
        <v>260603</v>
      </c>
      <c r="G325" s="3" t="s">
        <v>13</v>
      </c>
      <c r="H325" s="3" t="s">
        <v>19</v>
      </c>
      <c r="I325" s="3">
        <v>526</v>
      </c>
      <c r="J325" s="5" t="s">
        <v>15</v>
      </c>
      <c r="K325" s="3" t="str">
        <f t="shared" si="5"/>
        <v>Dr. Luis Adams</v>
      </c>
    </row>
    <row r="326" spans="1:11" x14ac:dyDescent="0.35">
      <c r="A326" s="4">
        <v>325</v>
      </c>
      <c r="B326" s="3" t="s">
        <v>348</v>
      </c>
      <c r="C326" s="3" t="s">
        <v>17</v>
      </c>
      <c r="D326" s="3" t="s">
        <v>12</v>
      </c>
      <c r="E326" s="3">
        <v>100119</v>
      </c>
      <c r="F326" s="3">
        <v>345453</v>
      </c>
      <c r="G326" s="3" t="s">
        <v>13</v>
      </c>
      <c r="H326" s="3" t="s">
        <v>26</v>
      </c>
      <c r="I326" s="3">
        <v>704</v>
      </c>
      <c r="J326" s="5" t="s">
        <v>24</v>
      </c>
      <c r="K326" s="3" t="str">
        <f t="shared" si="5"/>
        <v>Audrey Russell</v>
      </c>
    </row>
    <row r="327" spans="1:11" x14ac:dyDescent="0.35">
      <c r="A327" s="4">
        <v>326</v>
      </c>
      <c r="B327" s="3" t="s">
        <v>349</v>
      </c>
      <c r="C327" s="3" t="s">
        <v>11</v>
      </c>
      <c r="D327" s="3" t="s">
        <v>21</v>
      </c>
      <c r="E327" s="3">
        <v>39571</v>
      </c>
      <c r="F327" s="3">
        <v>87307</v>
      </c>
      <c r="G327" s="3" t="s">
        <v>22</v>
      </c>
      <c r="H327" s="3" t="s">
        <v>23</v>
      </c>
      <c r="I327" s="3">
        <v>348</v>
      </c>
      <c r="J327" s="5" t="s">
        <v>24</v>
      </c>
      <c r="K327" s="3" t="str">
        <f t="shared" si="5"/>
        <v>Patricia Nielsen</v>
      </c>
    </row>
    <row r="328" spans="1:11" x14ac:dyDescent="0.35">
      <c r="A328" s="4">
        <v>327</v>
      </c>
      <c r="B328" s="3" t="s">
        <v>350</v>
      </c>
      <c r="C328" s="3" t="s">
        <v>17</v>
      </c>
      <c r="D328" s="3" t="s">
        <v>12</v>
      </c>
      <c r="E328" s="3">
        <v>78422</v>
      </c>
      <c r="F328" s="3">
        <v>50485</v>
      </c>
      <c r="G328" s="3" t="s">
        <v>13</v>
      </c>
      <c r="H328" s="3" t="s">
        <v>14</v>
      </c>
      <c r="I328" s="3">
        <v>648</v>
      </c>
      <c r="J328" s="5" t="s">
        <v>32</v>
      </c>
      <c r="K328" s="3" t="str">
        <f t="shared" si="5"/>
        <v>Mrs. Molly Jones MD</v>
      </c>
    </row>
    <row r="329" spans="1:11" x14ac:dyDescent="0.35">
      <c r="A329" s="4">
        <v>328</v>
      </c>
      <c r="B329" s="3" t="s">
        <v>351</v>
      </c>
      <c r="C329" s="3" t="s">
        <v>11</v>
      </c>
      <c r="D329" s="3" t="s">
        <v>21</v>
      </c>
      <c r="E329" s="3">
        <v>45917</v>
      </c>
      <c r="F329" s="3">
        <v>448175</v>
      </c>
      <c r="G329" s="3" t="s">
        <v>13</v>
      </c>
      <c r="H329" s="3" t="s">
        <v>14</v>
      </c>
      <c r="I329" s="3">
        <v>718</v>
      </c>
      <c r="J329" s="5" t="s">
        <v>32</v>
      </c>
      <c r="K329" s="3" t="str">
        <f t="shared" si="5"/>
        <v>Mrs. Molly Jones MD</v>
      </c>
    </row>
    <row r="330" spans="1:11" x14ac:dyDescent="0.35">
      <c r="A330" s="4">
        <v>329</v>
      </c>
      <c r="B330" s="3" t="s">
        <v>352</v>
      </c>
      <c r="C330" s="3" t="s">
        <v>17</v>
      </c>
      <c r="D330" s="3" t="s">
        <v>12</v>
      </c>
      <c r="E330" s="3">
        <v>38301</v>
      </c>
      <c r="F330" s="3">
        <v>176842</v>
      </c>
      <c r="G330" s="3" t="s">
        <v>22</v>
      </c>
      <c r="H330" s="3" t="s">
        <v>19</v>
      </c>
      <c r="I330" s="3">
        <v>855</v>
      </c>
      <c r="J330" s="5" t="s">
        <v>15</v>
      </c>
      <c r="K330" s="3" t="str">
        <f t="shared" si="5"/>
        <v>Dr. Luis Adams</v>
      </c>
    </row>
    <row r="331" spans="1:11" x14ac:dyDescent="0.35">
      <c r="A331" s="4">
        <v>330</v>
      </c>
      <c r="B331" s="3" t="s">
        <v>353</v>
      </c>
      <c r="C331" s="3" t="s">
        <v>11</v>
      </c>
      <c r="D331" s="3" t="s">
        <v>21</v>
      </c>
      <c r="E331" s="3">
        <v>107164</v>
      </c>
      <c r="F331" s="3">
        <v>27812</v>
      </c>
      <c r="G331" s="3" t="s">
        <v>22</v>
      </c>
      <c r="H331" s="3" t="s">
        <v>26</v>
      </c>
      <c r="I331" s="3">
        <v>886</v>
      </c>
      <c r="J331" s="5" t="s">
        <v>15</v>
      </c>
      <c r="K331" s="3" t="str">
        <f t="shared" si="5"/>
        <v>Audrey Russell</v>
      </c>
    </row>
    <row r="332" spans="1:11" x14ac:dyDescent="0.35">
      <c r="A332" s="4">
        <v>331</v>
      </c>
      <c r="B332" s="3" t="s">
        <v>354</v>
      </c>
      <c r="C332" s="3" t="s">
        <v>17</v>
      </c>
      <c r="D332" s="3" t="s">
        <v>18</v>
      </c>
      <c r="E332" s="3">
        <v>71993</v>
      </c>
      <c r="F332" s="3">
        <v>132830</v>
      </c>
      <c r="G332" s="3" t="s">
        <v>13</v>
      </c>
      <c r="H332" s="3" t="s">
        <v>26</v>
      </c>
      <c r="I332" s="3">
        <v>491</v>
      </c>
      <c r="J332" s="5" t="s">
        <v>32</v>
      </c>
      <c r="K332" s="3" t="str">
        <f t="shared" si="5"/>
        <v>Audrey Russell</v>
      </c>
    </row>
    <row r="333" spans="1:11" x14ac:dyDescent="0.35">
      <c r="A333" s="4">
        <v>332</v>
      </c>
      <c r="B333" s="3" t="s">
        <v>355</v>
      </c>
      <c r="C333" s="3" t="s">
        <v>17</v>
      </c>
      <c r="D333" s="3" t="s">
        <v>18</v>
      </c>
      <c r="E333" s="3">
        <v>116825</v>
      </c>
      <c r="F333" s="3">
        <v>314339</v>
      </c>
      <c r="G333" s="3" t="s">
        <v>13</v>
      </c>
      <c r="H333" s="3" t="s">
        <v>26</v>
      </c>
      <c r="I333" s="3">
        <v>664</v>
      </c>
      <c r="J333" s="5" t="s">
        <v>15</v>
      </c>
      <c r="K333" s="3" t="str">
        <f t="shared" si="5"/>
        <v>Audrey Russell</v>
      </c>
    </row>
    <row r="334" spans="1:11" x14ac:dyDescent="0.35">
      <c r="A334" s="4">
        <v>333</v>
      </c>
      <c r="B334" s="3" t="s">
        <v>356</v>
      </c>
      <c r="C334" s="3" t="s">
        <v>17</v>
      </c>
      <c r="D334" s="3" t="s">
        <v>12</v>
      </c>
      <c r="E334" s="3">
        <v>52910</v>
      </c>
      <c r="F334" s="3">
        <v>372820</v>
      </c>
      <c r="G334" s="3" t="s">
        <v>22</v>
      </c>
      <c r="H334" s="3" t="s">
        <v>23</v>
      </c>
      <c r="I334" s="3">
        <v>442</v>
      </c>
      <c r="J334" s="5" t="s">
        <v>24</v>
      </c>
      <c r="K334" s="3" t="str">
        <f t="shared" si="5"/>
        <v>Patricia Nielsen</v>
      </c>
    </row>
    <row r="335" spans="1:11" x14ac:dyDescent="0.35">
      <c r="A335" s="4">
        <v>334</v>
      </c>
      <c r="B335" s="3" t="s">
        <v>357</v>
      </c>
      <c r="C335" s="3" t="s">
        <v>11</v>
      </c>
      <c r="D335" s="3" t="s">
        <v>12</v>
      </c>
      <c r="E335" s="3">
        <v>103261</v>
      </c>
      <c r="F335" s="3">
        <v>260233</v>
      </c>
      <c r="G335" s="3" t="s">
        <v>13</v>
      </c>
      <c r="H335" s="3" t="s">
        <v>19</v>
      </c>
      <c r="I335" s="3">
        <v>883</v>
      </c>
      <c r="J335" s="5" t="s">
        <v>15</v>
      </c>
      <c r="K335" s="3" t="str">
        <f t="shared" si="5"/>
        <v>Dr. Luis Adams</v>
      </c>
    </row>
    <row r="336" spans="1:11" x14ac:dyDescent="0.35">
      <c r="A336" s="4">
        <v>335</v>
      </c>
      <c r="B336" s="3" t="s">
        <v>358</v>
      </c>
      <c r="C336" s="3" t="s">
        <v>11</v>
      </c>
      <c r="D336" s="3" t="s">
        <v>18</v>
      </c>
      <c r="E336" s="3">
        <v>20427</v>
      </c>
      <c r="F336" s="3">
        <v>265701</v>
      </c>
      <c r="G336" s="3" t="s">
        <v>22</v>
      </c>
      <c r="H336" s="3" t="s">
        <v>14</v>
      </c>
      <c r="I336" s="3">
        <v>516</v>
      </c>
      <c r="J336" s="5" t="s">
        <v>15</v>
      </c>
      <c r="K336" s="3" t="str">
        <f t="shared" si="5"/>
        <v>Mrs. Molly Jones MD</v>
      </c>
    </row>
    <row r="337" spans="1:11" x14ac:dyDescent="0.35">
      <c r="A337" s="4">
        <v>336</v>
      </c>
      <c r="B337" s="3" t="s">
        <v>359</v>
      </c>
      <c r="C337" s="3" t="s">
        <v>17</v>
      </c>
      <c r="D337" s="3" t="s">
        <v>12</v>
      </c>
      <c r="E337" s="3">
        <v>106490</v>
      </c>
      <c r="F337" s="3">
        <v>427107</v>
      </c>
      <c r="G337" s="3" t="s">
        <v>13</v>
      </c>
      <c r="H337" s="3" t="s">
        <v>26</v>
      </c>
      <c r="I337" s="3">
        <v>772</v>
      </c>
      <c r="J337" s="5" t="s">
        <v>32</v>
      </c>
      <c r="K337" s="3" t="str">
        <f t="shared" si="5"/>
        <v>Audrey Russell</v>
      </c>
    </row>
    <row r="338" spans="1:11" x14ac:dyDescent="0.35">
      <c r="A338" s="4">
        <v>337</v>
      </c>
      <c r="B338" s="3" t="s">
        <v>360</v>
      </c>
      <c r="C338" s="3" t="s">
        <v>11</v>
      </c>
      <c r="D338" s="3" t="s">
        <v>12</v>
      </c>
      <c r="E338" s="3">
        <v>119003</v>
      </c>
      <c r="F338" s="3">
        <v>268729</v>
      </c>
      <c r="G338" s="3" t="s">
        <v>13</v>
      </c>
      <c r="H338" s="3" t="s">
        <v>23</v>
      </c>
      <c r="I338" s="3">
        <v>629</v>
      </c>
      <c r="J338" s="5" t="s">
        <v>24</v>
      </c>
      <c r="K338" s="3" t="str">
        <f t="shared" si="5"/>
        <v>Patricia Nielsen</v>
      </c>
    </row>
    <row r="339" spans="1:11" x14ac:dyDescent="0.35">
      <c r="A339" s="4">
        <v>338</v>
      </c>
      <c r="B339" s="3" t="s">
        <v>361</v>
      </c>
      <c r="C339" s="3" t="s">
        <v>17</v>
      </c>
      <c r="D339" s="3" t="s">
        <v>18</v>
      </c>
      <c r="E339" s="3">
        <v>68347</v>
      </c>
      <c r="F339" s="3">
        <v>70503</v>
      </c>
      <c r="G339" s="3" t="s">
        <v>13</v>
      </c>
      <c r="H339" s="3" t="s">
        <v>19</v>
      </c>
      <c r="I339" s="3">
        <v>800</v>
      </c>
      <c r="J339" s="5" t="s">
        <v>15</v>
      </c>
      <c r="K339" s="3" t="str">
        <f t="shared" si="5"/>
        <v>Dr. Luis Adams</v>
      </c>
    </row>
    <row r="340" spans="1:11" x14ac:dyDescent="0.35">
      <c r="A340" s="4">
        <v>339</v>
      </c>
      <c r="B340" s="3" t="s">
        <v>362</v>
      </c>
      <c r="C340" s="3" t="s">
        <v>17</v>
      </c>
      <c r="D340" s="3" t="s">
        <v>18</v>
      </c>
      <c r="E340" s="3">
        <v>113850</v>
      </c>
      <c r="F340" s="3">
        <v>264061</v>
      </c>
      <c r="G340" s="3" t="s">
        <v>22</v>
      </c>
      <c r="H340" s="3" t="s">
        <v>26</v>
      </c>
      <c r="I340" s="3">
        <v>373</v>
      </c>
      <c r="J340" s="5" t="s">
        <v>24</v>
      </c>
      <c r="K340" s="3" t="str">
        <f t="shared" si="5"/>
        <v>Audrey Russell</v>
      </c>
    </row>
    <row r="341" spans="1:11" x14ac:dyDescent="0.35">
      <c r="A341" s="4">
        <v>340</v>
      </c>
      <c r="B341" s="3" t="s">
        <v>363</v>
      </c>
      <c r="C341" s="3" t="s">
        <v>11</v>
      </c>
      <c r="D341" s="3" t="s">
        <v>18</v>
      </c>
      <c r="E341" s="3">
        <v>110235</v>
      </c>
      <c r="F341" s="3">
        <v>250852</v>
      </c>
      <c r="G341" s="3" t="s">
        <v>13</v>
      </c>
      <c r="H341" s="3" t="s">
        <v>14</v>
      </c>
      <c r="I341" s="3">
        <v>686</v>
      </c>
      <c r="J341" s="5" t="s">
        <v>24</v>
      </c>
      <c r="K341" s="3" t="str">
        <f t="shared" si="5"/>
        <v>Mrs. Molly Jones MD</v>
      </c>
    </row>
    <row r="342" spans="1:11" x14ac:dyDescent="0.35">
      <c r="A342" s="4">
        <v>341</v>
      </c>
      <c r="B342" s="3" t="s">
        <v>364</v>
      </c>
      <c r="C342" s="3" t="s">
        <v>17</v>
      </c>
      <c r="D342" s="3" t="s">
        <v>21</v>
      </c>
      <c r="E342" s="3">
        <v>55035</v>
      </c>
      <c r="F342" s="3">
        <v>6206</v>
      </c>
      <c r="G342" s="3" t="s">
        <v>13</v>
      </c>
      <c r="H342" s="3" t="s">
        <v>14</v>
      </c>
      <c r="I342" s="3">
        <v>725</v>
      </c>
      <c r="J342" s="5" t="s">
        <v>15</v>
      </c>
      <c r="K342" s="3" t="str">
        <f t="shared" si="5"/>
        <v>Mrs. Molly Jones MD</v>
      </c>
    </row>
    <row r="343" spans="1:11" x14ac:dyDescent="0.35">
      <c r="A343" s="4">
        <v>342</v>
      </c>
      <c r="B343" s="3" t="s">
        <v>365</v>
      </c>
      <c r="C343" s="3" t="s">
        <v>17</v>
      </c>
      <c r="D343" s="3" t="s">
        <v>18</v>
      </c>
      <c r="E343" s="3">
        <v>55242</v>
      </c>
      <c r="F343" s="3">
        <v>469094</v>
      </c>
      <c r="G343" s="3" t="s">
        <v>22</v>
      </c>
      <c r="H343" s="3" t="s">
        <v>26</v>
      </c>
      <c r="I343" s="3">
        <v>661</v>
      </c>
      <c r="J343" s="5" t="s">
        <v>15</v>
      </c>
      <c r="K343" s="3" t="str">
        <f t="shared" si="5"/>
        <v>Audrey Russell</v>
      </c>
    </row>
    <row r="344" spans="1:11" x14ac:dyDescent="0.35">
      <c r="A344" s="4">
        <v>343</v>
      </c>
      <c r="B344" s="3" t="s">
        <v>366</v>
      </c>
      <c r="C344" s="3" t="s">
        <v>17</v>
      </c>
      <c r="D344" s="3" t="s">
        <v>18</v>
      </c>
      <c r="E344" s="3">
        <v>87005</v>
      </c>
      <c r="F344" s="3">
        <v>67582</v>
      </c>
      <c r="G344" s="3" t="s">
        <v>22</v>
      </c>
      <c r="H344" s="3" t="s">
        <v>26</v>
      </c>
      <c r="I344" s="3">
        <v>365</v>
      </c>
      <c r="J344" s="5" t="s">
        <v>24</v>
      </c>
      <c r="K344" s="3" t="str">
        <f t="shared" si="5"/>
        <v>Audrey Russell</v>
      </c>
    </row>
    <row r="345" spans="1:11" x14ac:dyDescent="0.35">
      <c r="A345" s="4">
        <v>344</v>
      </c>
      <c r="B345" s="3" t="s">
        <v>367</v>
      </c>
      <c r="C345" s="3" t="s">
        <v>17</v>
      </c>
      <c r="D345" s="3" t="s">
        <v>18</v>
      </c>
      <c r="E345" s="3">
        <v>79314</v>
      </c>
      <c r="F345" s="3">
        <v>86708</v>
      </c>
      <c r="G345" s="3" t="s">
        <v>22</v>
      </c>
      <c r="H345" s="3" t="s">
        <v>26</v>
      </c>
      <c r="I345" s="3">
        <v>327</v>
      </c>
      <c r="J345" s="5" t="s">
        <v>24</v>
      </c>
      <c r="K345" s="3" t="str">
        <f t="shared" si="5"/>
        <v>Audrey Russell</v>
      </c>
    </row>
    <row r="346" spans="1:11" x14ac:dyDescent="0.35">
      <c r="A346" s="4">
        <v>345</v>
      </c>
      <c r="B346" s="3" t="s">
        <v>368</v>
      </c>
      <c r="C346" s="3" t="s">
        <v>11</v>
      </c>
      <c r="D346" s="3" t="s">
        <v>21</v>
      </c>
      <c r="E346" s="3">
        <v>103697</v>
      </c>
      <c r="F346" s="3">
        <v>205215</v>
      </c>
      <c r="G346" s="3" t="s">
        <v>13</v>
      </c>
      <c r="H346" s="3" t="s">
        <v>14</v>
      </c>
      <c r="I346" s="3">
        <v>401</v>
      </c>
      <c r="J346" s="5" t="s">
        <v>15</v>
      </c>
      <c r="K346" s="3" t="str">
        <f t="shared" si="5"/>
        <v>Mrs. Molly Jones MD</v>
      </c>
    </row>
    <row r="347" spans="1:11" x14ac:dyDescent="0.35">
      <c r="A347" s="4">
        <v>346</v>
      </c>
      <c r="B347" s="3" t="s">
        <v>369</v>
      </c>
      <c r="C347" s="3" t="s">
        <v>17</v>
      </c>
      <c r="D347" s="3" t="s">
        <v>21</v>
      </c>
      <c r="E347" s="3">
        <v>102174</v>
      </c>
      <c r="F347" s="3">
        <v>456953</v>
      </c>
      <c r="G347" s="3" t="s">
        <v>13</v>
      </c>
      <c r="H347" s="3" t="s">
        <v>23</v>
      </c>
      <c r="I347" s="3">
        <v>823</v>
      </c>
      <c r="J347" s="5" t="s">
        <v>15</v>
      </c>
      <c r="K347" s="3" t="str">
        <f t="shared" si="5"/>
        <v>Patricia Nielsen</v>
      </c>
    </row>
    <row r="348" spans="1:11" x14ac:dyDescent="0.35">
      <c r="A348" s="4">
        <v>347</v>
      </c>
      <c r="B348" s="3" t="s">
        <v>370</v>
      </c>
      <c r="C348" s="3" t="s">
        <v>11</v>
      </c>
      <c r="D348" s="3" t="s">
        <v>18</v>
      </c>
      <c r="E348" s="3">
        <v>117098</v>
      </c>
      <c r="F348" s="3">
        <v>108608</v>
      </c>
      <c r="G348" s="3" t="s">
        <v>22</v>
      </c>
      <c r="H348" s="3" t="s">
        <v>19</v>
      </c>
      <c r="I348" s="3">
        <v>817</v>
      </c>
      <c r="J348" s="5" t="s">
        <v>32</v>
      </c>
      <c r="K348" s="3" t="str">
        <f t="shared" si="5"/>
        <v>Dr. Luis Adams</v>
      </c>
    </row>
    <row r="349" spans="1:11" x14ac:dyDescent="0.35">
      <c r="A349" s="4">
        <v>348</v>
      </c>
      <c r="B349" s="3" t="s">
        <v>371</v>
      </c>
      <c r="C349" s="3" t="s">
        <v>17</v>
      </c>
      <c r="D349" s="3" t="s">
        <v>12</v>
      </c>
      <c r="E349" s="3">
        <v>73462</v>
      </c>
      <c r="F349" s="3">
        <v>206359</v>
      </c>
      <c r="G349" s="3" t="s">
        <v>13</v>
      </c>
      <c r="H349" s="3" t="s">
        <v>14</v>
      </c>
      <c r="I349" s="3">
        <v>820</v>
      </c>
      <c r="J349" s="5" t="s">
        <v>15</v>
      </c>
      <c r="K349" s="3" t="str">
        <f t="shared" si="5"/>
        <v>Mrs. Molly Jones MD</v>
      </c>
    </row>
    <row r="350" spans="1:11" x14ac:dyDescent="0.35">
      <c r="A350" s="4">
        <v>349</v>
      </c>
      <c r="B350" s="3" t="s">
        <v>372</v>
      </c>
      <c r="C350" s="3" t="s">
        <v>17</v>
      </c>
      <c r="D350" s="3" t="s">
        <v>12</v>
      </c>
      <c r="E350" s="3">
        <v>97114</v>
      </c>
      <c r="F350" s="3">
        <v>225507</v>
      </c>
      <c r="G350" s="3" t="s">
        <v>13</v>
      </c>
      <c r="H350" s="3" t="s">
        <v>26</v>
      </c>
      <c r="I350" s="3">
        <v>550</v>
      </c>
      <c r="J350" s="5" t="s">
        <v>24</v>
      </c>
      <c r="K350" s="3" t="str">
        <f t="shared" si="5"/>
        <v>Audrey Russell</v>
      </c>
    </row>
    <row r="351" spans="1:11" x14ac:dyDescent="0.35">
      <c r="A351" s="4">
        <v>350</v>
      </c>
      <c r="B351" s="3" t="s">
        <v>373</v>
      </c>
      <c r="C351" s="3" t="s">
        <v>17</v>
      </c>
      <c r="D351" s="3" t="s">
        <v>12</v>
      </c>
      <c r="E351" s="3">
        <v>47244</v>
      </c>
      <c r="F351" s="3">
        <v>135501</v>
      </c>
      <c r="G351" s="3" t="s">
        <v>22</v>
      </c>
      <c r="H351" s="3" t="s">
        <v>19</v>
      </c>
      <c r="I351" s="3">
        <v>554</v>
      </c>
      <c r="J351" s="5" t="s">
        <v>15</v>
      </c>
      <c r="K351" s="3" t="str">
        <f t="shared" si="5"/>
        <v>Dr. Luis Adams</v>
      </c>
    </row>
    <row r="352" spans="1:11" x14ac:dyDescent="0.35">
      <c r="A352" s="4">
        <v>351</v>
      </c>
      <c r="B352" s="3" t="s">
        <v>374</v>
      </c>
      <c r="C352" s="3" t="s">
        <v>11</v>
      </c>
      <c r="D352" s="3" t="s">
        <v>18</v>
      </c>
      <c r="E352" s="3">
        <v>34744</v>
      </c>
      <c r="F352" s="3">
        <v>211001</v>
      </c>
      <c r="G352" s="3" t="s">
        <v>22</v>
      </c>
      <c r="H352" s="3" t="s">
        <v>19</v>
      </c>
      <c r="I352" s="3">
        <v>353</v>
      </c>
      <c r="J352" s="5" t="s">
        <v>15</v>
      </c>
      <c r="K352" s="3" t="str">
        <f t="shared" si="5"/>
        <v>Dr. Luis Adams</v>
      </c>
    </row>
    <row r="353" spans="1:11" x14ac:dyDescent="0.35">
      <c r="A353" s="4">
        <v>352</v>
      </c>
      <c r="B353" s="3" t="s">
        <v>375</v>
      </c>
      <c r="C353" s="3" t="s">
        <v>11</v>
      </c>
      <c r="D353" s="3" t="s">
        <v>12</v>
      </c>
      <c r="E353" s="3">
        <v>47819</v>
      </c>
      <c r="F353" s="3">
        <v>173097</v>
      </c>
      <c r="G353" s="3" t="s">
        <v>13</v>
      </c>
      <c r="H353" s="3" t="s">
        <v>19</v>
      </c>
      <c r="I353" s="3">
        <v>756</v>
      </c>
      <c r="J353" s="5" t="s">
        <v>15</v>
      </c>
      <c r="K353" s="3" t="str">
        <f t="shared" si="5"/>
        <v>Dr. Luis Adams</v>
      </c>
    </row>
    <row r="354" spans="1:11" x14ac:dyDescent="0.35">
      <c r="A354" s="4">
        <v>353</v>
      </c>
      <c r="B354" s="3" t="s">
        <v>376</v>
      </c>
      <c r="C354" s="3" t="s">
        <v>17</v>
      </c>
      <c r="D354" s="3" t="s">
        <v>21</v>
      </c>
      <c r="E354" s="3">
        <v>83420</v>
      </c>
      <c r="F354" s="3">
        <v>304088</v>
      </c>
      <c r="G354" s="3" t="s">
        <v>13</v>
      </c>
      <c r="H354" s="3" t="s">
        <v>14</v>
      </c>
      <c r="I354" s="3">
        <v>622</v>
      </c>
      <c r="J354" s="5" t="s">
        <v>15</v>
      </c>
      <c r="K354" s="3" t="str">
        <f t="shared" si="5"/>
        <v>Mrs. Molly Jones MD</v>
      </c>
    </row>
    <row r="355" spans="1:11" x14ac:dyDescent="0.35">
      <c r="A355" s="4">
        <v>354</v>
      </c>
      <c r="B355" s="3" t="s">
        <v>377</v>
      </c>
      <c r="C355" s="3" t="s">
        <v>11</v>
      </c>
      <c r="D355" s="3" t="s">
        <v>21</v>
      </c>
      <c r="E355" s="3">
        <v>49967</v>
      </c>
      <c r="F355" s="3">
        <v>356070</v>
      </c>
      <c r="G355" s="3" t="s">
        <v>22</v>
      </c>
      <c r="H355" s="3" t="s">
        <v>23</v>
      </c>
      <c r="I355" s="3">
        <v>454</v>
      </c>
      <c r="J355" s="5" t="s">
        <v>15</v>
      </c>
      <c r="K355" s="3" t="str">
        <f t="shared" si="5"/>
        <v>Patricia Nielsen</v>
      </c>
    </row>
    <row r="356" spans="1:11" x14ac:dyDescent="0.35">
      <c r="A356" s="4">
        <v>355</v>
      </c>
      <c r="B356" s="3" t="s">
        <v>378</v>
      </c>
      <c r="C356" s="3" t="s">
        <v>11</v>
      </c>
      <c r="D356" s="3" t="s">
        <v>12</v>
      </c>
      <c r="E356" s="3">
        <v>74461</v>
      </c>
      <c r="F356" s="3">
        <v>288390</v>
      </c>
      <c r="G356" s="3" t="s">
        <v>13</v>
      </c>
      <c r="H356" s="3" t="s">
        <v>19</v>
      </c>
      <c r="I356" s="3">
        <v>445</v>
      </c>
      <c r="J356" s="5" t="s">
        <v>15</v>
      </c>
      <c r="K356" s="3" t="str">
        <f t="shared" si="5"/>
        <v>Dr. Luis Adams</v>
      </c>
    </row>
    <row r="357" spans="1:11" x14ac:dyDescent="0.35">
      <c r="A357" s="4">
        <v>356</v>
      </c>
      <c r="B357" s="3" t="s">
        <v>379</v>
      </c>
      <c r="C357" s="3" t="s">
        <v>17</v>
      </c>
      <c r="D357" s="3" t="s">
        <v>18</v>
      </c>
      <c r="E357" s="3">
        <v>62018</v>
      </c>
      <c r="F357" s="3">
        <v>51653</v>
      </c>
      <c r="G357" s="3" t="s">
        <v>22</v>
      </c>
      <c r="H357" s="3" t="s">
        <v>14</v>
      </c>
      <c r="I357" s="3">
        <v>887</v>
      </c>
      <c r="J357" s="5" t="s">
        <v>24</v>
      </c>
      <c r="K357" s="3" t="str">
        <f t="shared" si="5"/>
        <v>Mrs. Molly Jones MD</v>
      </c>
    </row>
    <row r="358" spans="1:11" x14ac:dyDescent="0.35">
      <c r="A358" s="4">
        <v>357</v>
      </c>
      <c r="B358" s="3" t="s">
        <v>380</v>
      </c>
      <c r="C358" s="3" t="s">
        <v>17</v>
      </c>
      <c r="D358" s="3" t="s">
        <v>18</v>
      </c>
      <c r="E358" s="3">
        <v>76773</v>
      </c>
      <c r="F358" s="3">
        <v>341979</v>
      </c>
      <c r="G358" s="3" t="s">
        <v>13</v>
      </c>
      <c r="H358" s="3" t="s">
        <v>23</v>
      </c>
      <c r="I358" s="3">
        <v>685</v>
      </c>
      <c r="J358" s="5" t="s">
        <v>15</v>
      </c>
      <c r="K358" s="3" t="str">
        <f t="shared" si="5"/>
        <v>Patricia Nielsen</v>
      </c>
    </row>
    <row r="359" spans="1:11" x14ac:dyDescent="0.35">
      <c r="A359" s="4">
        <v>358</v>
      </c>
      <c r="B359" s="3" t="s">
        <v>381</v>
      </c>
      <c r="C359" s="3" t="s">
        <v>11</v>
      </c>
      <c r="D359" s="3" t="s">
        <v>12</v>
      </c>
      <c r="E359" s="3">
        <v>106648</v>
      </c>
      <c r="F359" s="3">
        <v>344755</v>
      </c>
      <c r="G359" s="3" t="s">
        <v>22</v>
      </c>
      <c r="H359" s="3" t="s">
        <v>26</v>
      </c>
      <c r="I359" s="3">
        <v>701</v>
      </c>
      <c r="J359" s="5" t="s">
        <v>15</v>
      </c>
      <c r="K359" s="3" t="str">
        <f t="shared" si="5"/>
        <v>Audrey Russell</v>
      </c>
    </row>
    <row r="360" spans="1:11" x14ac:dyDescent="0.35">
      <c r="A360" s="4">
        <v>359</v>
      </c>
      <c r="B360" s="3" t="s">
        <v>382</v>
      </c>
      <c r="C360" s="3" t="s">
        <v>17</v>
      </c>
      <c r="D360" s="3" t="s">
        <v>12</v>
      </c>
      <c r="E360" s="3">
        <v>68063</v>
      </c>
      <c r="F360" s="3">
        <v>422605</v>
      </c>
      <c r="G360" s="3" t="s">
        <v>22</v>
      </c>
      <c r="H360" s="3" t="s">
        <v>14</v>
      </c>
      <c r="I360" s="3">
        <v>321</v>
      </c>
      <c r="J360" s="5" t="s">
        <v>15</v>
      </c>
      <c r="K360" s="3" t="str">
        <f t="shared" si="5"/>
        <v>Mrs. Molly Jones MD</v>
      </c>
    </row>
    <row r="361" spans="1:11" x14ac:dyDescent="0.35">
      <c r="A361" s="4">
        <v>360</v>
      </c>
      <c r="B361" s="3" t="s">
        <v>383</v>
      </c>
      <c r="C361" s="3" t="s">
        <v>11</v>
      </c>
      <c r="D361" s="3" t="s">
        <v>18</v>
      </c>
      <c r="E361" s="3">
        <v>86545</v>
      </c>
      <c r="F361" s="3">
        <v>107174</v>
      </c>
      <c r="G361" s="3" t="s">
        <v>13</v>
      </c>
      <c r="H361" s="3" t="s">
        <v>26</v>
      </c>
      <c r="I361" s="3">
        <v>615</v>
      </c>
      <c r="J361" s="5" t="s">
        <v>24</v>
      </c>
      <c r="K361" s="3" t="str">
        <f t="shared" si="5"/>
        <v>Audrey Russell</v>
      </c>
    </row>
    <row r="362" spans="1:11" x14ac:dyDescent="0.35">
      <c r="A362" s="4">
        <v>361</v>
      </c>
      <c r="B362" s="3" t="s">
        <v>384</v>
      </c>
      <c r="C362" s="3" t="s">
        <v>17</v>
      </c>
      <c r="D362" s="3" t="s">
        <v>18</v>
      </c>
      <c r="E362" s="3">
        <v>54366</v>
      </c>
      <c r="F362" s="3">
        <v>442705</v>
      </c>
      <c r="G362" s="3" t="s">
        <v>13</v>
      </c>
      <c r="H362" s="3" t="s">
        <v>23</v>
      </c>
      <c r="I362" s="3">
        <v>835</v>
      </c>
      <c r="J362" s="5" t="s">
        <v>32</v>
      </c>
      <c r="K362" s="3" t="str">
        <f t="shared" si="5"/>
        <v>Patricia Nielsen</v>
      </c>
    </row>
    <row r="363" spans="1:11" x14ac:dyDescent="0.35">
      <c r="A363" s="4">
        <v>362</v>
      </c>
      <c r="B363" s="3" t="s">
        <v>385</v>
      </c>
      <c r="C363" s="3" t="s">
        <v>17</v>
      </c>
      <c r="D363" s="3" t="s">
        <v>21</v>
      </c>
      <c r="E363" s="3">
        <v>92705</v>
      </c>
      <c r="F363" s="3">
        <v>227505</v>
      </c>
      <c r="G363" s="3" t="s">
        <v>22</v>
      </c>
      <c r="H363" s="3" t="s">
        <v>19</v>
      </c>
      <c r="I363" s="3">
        <v>734</v>
      </c>
      <c r="J363" s="5" t="s">
        <v>15</v>
      </c>
      <c r="K363" s="3" t="str">
        <f t="shared" si="5"/>
        <v>Dr. Luis Adams</v>
      </c>
    </row>
    <row r="364" spans="1:11" x14ac:dyDescent="0.35">
      <c r="A364" s="4">
        <v>363</v>
      </c>
      <c r="B364" s="3" t="s">
        <v>386</v>
      </c>
      <c r="C364" s="3" t="s">
        <v>17</v>
      </c>
      <c r="D364" s="3" t="s">
        <v>18</v>
      </c>
      <c r="E364" s="3">
        <v>62686</v>
      </c>
      <c r="F364" s="3">
        <v>174480</v>
      </c>
      <c r="G364" s="3" t="s">
        <v>22</v>
      </c>
      <c r="H364" s="3" t="s">
        <v>19</v>
      </c>
      <c r="I364" s="3">
        <v>466</v>
      </c>
      <c r="J364" s="5" t="s">
        <v>24</v>
      </c>
      <c r="K364" s="3" t="str">
        <f t="shared" si="5"/>
        <v>Dr. Luis Adams</v>
      </c>
    </row>
    <row r="365" spans="1:11" x14ac:dyDescent="0.35">
      <c r="A365" s="4">
        <v>364</v>
      </c>
      <c r="B365" s="3" t="s">
        <v>387</v>
      </c>
      <c r="C365" s="3" t="s">
        <v>11</v>
      </c>
      <c r="D365" s="3" t="s">
        <v>18</v>
      </c>
      <c r="E365" s="3">
        <v>92790</v>
      </c>
      <c r="F365" s="3">
        <v>400836</v>
      </c>
      <c r="G365" s="3" t="s">
        <v>13</v>
      </c>
      <c r="H365" s="3" t="s">
        <v>23</v>
      </c>
      <c r="I365" s="3">
        <v>678</v>
      </c>
      <c r="J365" s="5" t="s">
        <v>32</v>
      </c>
      <c r="K365" s="3" t="str">
        <f t="shared" si="5"/>
        <v>Patricia Nielsen</v>
      </c>
    </row>
    <row r="366" spans="1:11" x14ac:dyDescent="0.35">
      <c r="A366" s="4">
        <v>365</v>
      </c>
      <c r="B366" s="3" t="s">
        <v>388</v>
      </c>
      <c r="C366" s="3" t="s">
        <v>17</v>
      </c>
      <c r="D366" s="3" t="s">
        <v>21</v>
      </c>
      <c r="E366" s="3">
        <v>102805</v>
      </c>
      <c r="F366" s="3">
        <v>395424</v>
      </c>
      <c r="G366" s="3" t="s">
        <v>22</v>
      </c>
      <c r="H366" s="3" t="s">
        <v>14</v>
      </c>
      <c r="I366" s="3">
        <v>881</v>
      </c>
      <c r="J366" s="5" t="s">
        <v>32</v>
      </c>
      <c r="K366" s="3" t="str">
        <f t="shared" si="5"/>
        <v>Mrs. Molly Jones MD</v>
      </c>
    </row>
    <row r="367" spans="1:11" x14ac:dyDescent="0.35">
      <c r="A367" s="4">
        <v>366</v>
      </c>
      <c r="B367" s="3" t="s">
        <v>389</v>
      </c>
      <c r="C367" s="3" t="s">
        <v>17</v>
      </c>
      <c r="D367" s="3" t="s">
        <v>12</v>
      </c>
      <c r="E367" s="3">
        <v>53918</v>
      </c>
      <c r="F367" s="3">
        <v>381603</v>
      </c>
      <c r="G367" s="3" t="s">
        <v>13</v>
      </c>
      <c r="H367" s="3" t="s">
        <v>14</v>
      </c>
      <c r="I367" s="3">
        <v>398</v>
      </c>
      <c r="J367" s="5" t="s">
        <v>24</v>
      </c>
      <c r="K367" s="3" t="str">
        <f t="shared" si="5"/>
        <v>Mrs. Molly Jones MD</v>
      </c>
    </row>
    <row r="368" spans="1:11" x14ac:dyDescent="0.35">
      <c r="A368" s="4">
        <v>367</v>
      </c>
      <c r="B368" s="3" t="s">
        <v>390</v>
      </c>
      <c r="C368" s="3" t="s">
        <v>17</v>
      </c>
      <c r="D368" s="3" t="s">
        <v>18</v>
      </c>
      <c r="E368" s="3">
        <v>31135</v>
      </c>
      <c r="F368" s="3">
        <v>99208</v>
      </c>
      <c r="G368" s="3" t="s">
        <v>22</v>
      </c>
      <c r="H368" s="3" t="s">
        <v>14</v>
      </c>
      <c r="I368" s="3">
        <v>624</v>
      </c>
      <c r="J368" s="5" t="s">
        <v>32</v>
      </c>
      <c r="K368" s="3" t="str">
        <f t="shared" si="5"/>
        <v>Mrs. Molly Jones MD</v>
      </c>
    </row>
    <row r="369" spans="1:11" x14ac:dyDescent="0.35">
      <c r="A369" s="4">
        <v>368</v>
      </c>
      <c r="B369" s="3" t="s">
        <v>391</v>
      </c>
      <c r="C369" s="3" t="s">
        <v>17</v>
      </c>
      <c r="D369" s="3" t="s">
        <v>21</v>
      </c>
      <c r="E369" s="3">
        <v>25010</v>
      </c>
      <c r="F369" s="3">
        <v>16965</v>
      </c>
      <c r="G369" s="3" t="s">
        <v>13</v>
      </c>
      <c r="H369" s="3" t="s">
        <v>26</v>
      </c>
      <c r="I369" s="3">
        <v>831</v>
      </c>
      <c r="J369" s="5" t="s">
        <v>32</v>
      </c>
      <c r="K369" s="3" t="str">
        <f t="shared" si="5"/>
        <v>Audrey Russell</v>
      </c>
    </row>
    <row r="370" spans="1:11" x14ac:dyDescent="0.35">
      <c r="A370" s="4">
        <v>369</v>
      </c>
      <c r="B370" s="3" t="s">
        <v>392</v>
      </c>
      <c r="C370" s="3" t="s">
        <v>17</v>
      </c>
      <c r="D370" s="3" t="s">
        <v>21</v>
      </c>
      <c r="E370" s="3">
        <v>82441</v>
      </c>
      <c r="F370" s="3">
        <v>417402</v>
      </c>
      <c r="G370" s="3" t="s">
        <v>13</v>
      </c>
      <c r="H370" s="3" t="s">
        <v>26</v>
      </c>
      <c r="I370" s="3">
        <v>479</v>
      </c>
      <c r="J370" s="5" t="s">
        <v>15</v>
      </c>
      <c r="K370" s="3" t="str">
        <f t="shared" si="5"/>
        <v>Audrey Russell</v>
      </c>
    </row>
    <row r="371" spans="1:11" x14ac:dyDescent="0.35">
      <c r="A371" s="4">
        <v>370</v>
      </c>
      <c r="B371" s="3" t="s">
        <v>393</v>
      </c>
      <c r="C371" s="3" t="s">
        <v>11</v>
      </c>
      <c r="D371" s="3" t="s">
        <v>18</v>
      </c>
      <c r="E371" s="3">
        <v>44814</v>
      </c>
      <c r="F371" s="3">
        <v>132737</v>
      </c>
      <c r="G371" s="3" t="s">
        <v>22</v>
      </c>
      <c r="H371" s="3" t="s">
        <v>23</v>
      </c>
      <c r="I371" s="3">
        <v>374</v>
      </c>
      <c r="J371" s="5" t="s">
        <v>32</v>
      </c>
      <c r="K371" s="3" t="str">
        <f t="shared" si="5"/>
        <v>Patricia Nielsen</v>
      </c>
    </row>
    <row r="372" spans="1:11" x14ac:dyDescent="0.35">
      <c r="A372" s="4">
        <v>371</v>
      </c>
      <c r="B372" s="3" t="s">
        <v>394</v>
      </c>
      <c r="C372" s="3" t="s">
        <v>11</v>
      </c>
      <c r="D372" s="3" t="s">
        <v>21</v>
      </c>
      <c r="E372" s="3">
        <v>28588</v>
      </c>
      <c r="F372" s="3">
        <v>240107</v>
      </c>
      <c r="G372" s="3" t="s">
        <v>13</v>
      </c>
      <c r="H372" s="3" t="s">
        <v>14</v>
      </c>
      <c r="I372" s="3">
        <v>308</v>
      </c>
      <c r="J372" s="5" t="s">
        <v>32</v>
      </c>
      <c r="K372" s="3" t="str">
        <f t="shared" si="5"/>
        <v>Mrs. Molly Jones MD</v>
      </c>
    </row>
    <row r="373" spans="1:11" x14ac:dyDescent="0.35">
      <c r="A373" s="4">
        <v>372</v>
      </c>
      <c r="B373" s="3" t="s">
        <v>395</v>
      </c>
      <c r="C373" s="3" t="s">
        <v>11</v>
      </c>
      <c r="D373" s="3" t="s">
        <v>12</v>
      </c>
      <c r="E373" s="3">
        <v>53832</v>
      </c>
      <c r="F373" s="3">
        <v>282127</v>
      </c>
      <c r="G373" s="3" t="s">
        <v>22</v>
      </c>
      <c r="H373" s="3" t="s">
        <v>14</v>
      </c>
      <c r="I373" s="3">
        <v>489</v>
      </c>
      <c r="J373" s="5" t="s">
        <v>24</v>
      </c>
      <c r="K373" s="3" t="str">
        <f t="shared" si="5"/>
        <v>Mrs. Molly Jones MD</v>
      </c>
    </row>
    <row r="374" spans="1:11" x14ac:dyDescent="0.35">
      <c r="A374" s="4">
        <v>373</v>
      </c>
      <c r="B374" s="3" t="s">
        <v>396</v>
      </c>
      <c r="C374" s="3" t="s">
        <v>17</v>
      </c>
      <c r="D374" s="3" t="s">
        <v>21</v>
      </c>
      <c r="E374" s="3">
        <v>38678</v>
      </c>
      <c r="F374" s="3">
        <v>298468</v>
      </c>
      <c r="G374" s="3" t="s">
        <v>13</v>
      </c>
      <c r="H374" s="3" t="s">
        <v>23</v>
      </c>
      <c r="I374" s="3">
        <v>313</v>
      </c>
      <c r="J374" s="5" t="s">
        <v>24</v>
      </c>
      <c r="K374" s="3" t="str">
        <f t="shared" si="5"/>
        <v>Patricia Nielsen</v>
      </c>
    </row>
    <row r="375" spans="1:11" x14ac:dyDescent="0.35">
      <c r="A375" s="4">
        <v>374</v>
      </c>
      <c r="B375" s="3" t="s">
        <v>397</v>
      </c>
      <c r="C375" s="3" t="s">
        <v>11</v>
      </c>
      <c r="D375" s="3" t="s">
        <v>18</v>
      </c>
      <c r="E375" s="3">
        <v>41680</v>
      </c>
      <c r="F375" s="3">
        <v>163095</v>
      </c>
      <c r="G375" s="3" t="s">
        <v>13</v>
      </c>
      <c r="H375" s="3" t="s">
        <v>23</v>
      </c>
      <c r="I375" s="3">
        <v>751</v>
      </c>
      <c r="J375" s="5" t="s">
        <v>24</v>
      </c>
      <c r="K375" s="3" t="str">
        <f t="shared" si="5"/>
        <v>Patricia Nielsen</v>
      </c>
    </row>
    <row r="376" spans="1:11" x14ac:dyDescent="0.35">
      <c r="A376" s="4">
        <v>375</v>
      </c>
      <c r="B376" s="3" t="s">
        <v>398</v>
      </c>
      <c r="C376" s="3" t="s">
        <v>11</v>
      </c>
      <c r="D376" s="3" t="s">
        <v>18</v>
      </c>
      <c r="E376" s="3">
        <v>104254</v>
      </c>
      <c r="F376" s="3">
        <v>440777</v>
      </c>
      <c r="G376" s="3" t="s">
        <v>13</v>
      </c>
      <c r="H376" s="3" t="s">
        <v>26</v>
      </c>
      <c r="I376" s="3">
        <v>739</v>
      </c>
      <c r="J376" s="5" t="s">
        <v>32</v>
      </c>
      <c r="K376" s="3" t="str">
        <f t="shared" si="5"/>
        <v>Audrey Russell</v>
      </c>
    </row>
    <row r="377" spans="1:11" x14ac:dyDescent="0.35">
      <c r="A377" s="4">
        <v>376</v>
      </c>
      <c r="B377" s="3" t="s">
        <v>399</v>
      </c>
      <c r="C377" s="3" t="s">
        <v>11</v>
      </c>
      <c r="D377" s="3" t="s">
        <v>21</v>
      </c>
      <c r="E377" s="3">
        <v>44347</v>
      </c>
      <c r="F377" s="3">
        <v>216025</v>
      </c>
      <c r="G377" s="3" t="s">
        <v>13</v>
      </c>
      <c r="H377" s="3" t="s">
        <v>23</v>
      </c>
      <c r="I377" s="3">
        <v>896</v>
      </c>
      <c r="J377" s="5" t="s">
        <v>15</v>
      </c>
      <c r="K377" s="3" t="str">
        <f t="shared" si="5"/>
        <v>Patricia Nielsen</v>
      </c>
    </row>
    <row r="378" spans="1:11" x14ac:dyDescent="0.35">
      <c r="A378" s="4">
        <v>377</v>
      </c>
      <c r="B378" s="3" t="s">
        <v>400</v>
      </c>
      <c r="C378" s="3" t="s">
        <v>11</v>
      </c>
      <c r="D378" s="3" t="s">
        <v>12</v>
      </c>
      <c r="E378" s="3">
        <v>42377</v>
      </c>
      <c r="F378" s="3">
        <v>186885</v>
      </c>
      <c r="G378" s="3" t="s">
        <v>22</v>
      </c>
      <c r="H378" s="3" t="s">
        <v>23</v>
      </c>
      <c r="I378" s="3">
        <v>648</v>
      </c>
      <c r="J378" s="5" t="s">
        <v>15</v>
      </c>
      <c r="K378" s="3" t="str">
        <f t="shared" si="5"/>
        <v>Patricia Nielsen</v>
      </c>
    </row>
    <row r="379" spans="1:11" x14ac:dyDescent="0.35">
      <c r="A379" s="4">
        <v>378</v>
      </c>
      <c r="B379" s="3" t="s">
        <v>401</v>
      </c>
      <c r="C379" s="3" t="s">
        <v>17</v>
      </c>
      <c r="D379" s="3" t="s">
        <v>18</v>
      </c>
      <c r="E379" s="3">
        <v>76198</v>
      </c>
      <c r="F379" s="3">
        <v>318950</v>
      </c>
      <c r="G379" s="3" t="s">
        <v>22</v>
      </c>
      <c r="H379" s="3" t="s">
        <v>23</v>
      </c>
      <c r="I379" s="3">
        <v>671</v>
      </c>
      <c r="J379" s="5" t="s">
        <v>32</v>
      </c>
      <c r="K379" s="3" t="str">
        <f t="shared" si="5"/>
        <v>Patricia Nielsen</v>
      </c>
    </row>
    <row r="380" spans="1:11" x14ac:dyDescent="0.35">
      <c r="A380" s="4">
        <v>379</v>
      </c>
      <c r="B380" s="3" t="s">
        <v>402</v>
      </c>
      <c r="C380" s="3" t="s">
        <v>17</v>
      </c>
      <c r="D380" s="3" t="s">
        <v>21</v>
      </c>
      <c r="E380" s="3">
        <v>28227</v>
      </c>
      <c r="F380" s="3">
        <v>311342</v>
      </c>
      <c r="G380" s="3" t="s">
        <v>13</v>
      </c>
      <c r="H380" s="3" t="s">
        <v>26</v>
      </c>
      <c r="I380" s="3">
        <v>780</v>
      </c>
      <c r="J380" s="5" t="s">
        <v>15</v>
      </c>
      <c r="K380" s="3" t="str">
        <f t="shared" si="5"/>
        <v>Audrey Russell</v>
      </c>
    </row>
    <row r="381" spans="1:11" x14ac:dyDescent="0.35">
      <c r="A381" s="4">
        <v>380</v>
      </c>
      <c r="B381" s="3" t="s">
        <v>403</v>
      </c>
      <c r="C381" s="3" t="s">
        <v>11</v>
      </c>
      <c r="D381" s="3" t="s">
        <v>21</v>
      </c>
      <c r="E381" s="3">
        <v>27137</v>
      </c>
      <c r="F381" s="3">
        <v>230532</v>
      </c>
      <c r="G381" s="3" t="s">
        <v>22</v>
      </c>
      <c r="H381" s="3" t="s">
        <v>26</v>
      </c>
      <c r="I381" s="3">
        <v>600</v>
      </c>
      <c r="J381" s="5" t="s">
        <v>24</v>
      </c>
      <c r="K381" s="3" t="str">
        <f t="shared" si="5"/>
        <v>Audrey Russell</v>
      </c>
    </row>
    <row r="382" spans="1:11" x14ac:dyDescent="0.35">
      <c r="A382" s="4">
        <v>381</v>
      </c>
      <c r="B382" s="3" t="s">
        <v>404</v>
      </c>
      <c r="C382" s="3" t="s">
        <v>11</v>
      </c>
      <c r="D382" s="3" t="s">
        <v>21</v>
      </c>
      <c r="E382" s="3">
        <v>31044</v>
      </c>
      <c r="F382" s="3">
        <v>291700</v>
      </c>
      <c r="G382" s="3" t="s">
        <v>13</v>
      </c>
      <c r="H382" s="3" t="s">
        <v>26</v>
      </c>
      <c r="I382" s="3">
        <v>603</v>
      </c>
      <c r="J382" s="5" t="s">
        <v>15</v>
      </c>
      <c r="K382" s="3" t="str">
        <f t="shared" si="5"/>
        <v>Audrey Russell</v>
      </c>
    </row>
    <row r="383" spans="1:11" x14ac:dyDescent="0.35">
      <c r="A383" s="4">
        <v>382</v>
      </c>
      <c r="B383" s="3" t="s">
        <v>405</v>
      </c>
      <c r="C383" s="3" t="s">
        <v>11</v>
      </c>
      <c r="D383" s="3" t="s">
        <v>12</v>
      </c>
      <c r="E383" s="3">
        <v>65688</v>
      </c>
      <c r="F383" s="3">
        <v>132895</v>
      </c>
      <c r="G383" s="3" t="s">
        <v>13</v>
      </c>
      <c r="H383" s="3" t="s">
        <v>23</v>
      </c>
      <c r="I383" s="3">
        <v>333</v>
      </c>
      <c r="J383" s="5" t="s">
        <v>32</v>
      </c>
      <c r="K383" s="3" t="str">
        <f t="shared" si="5"/>
        <v>Patricia Nielsen</v>
      </c>
    </row>
    <row r="384" spans="1:11" x14ac:dyDescent="0.35">
      <c r="A384" s="4">
        <v>383</v>
      </c>
      <c r="B384" s="3" t="s">
        <v>406</v>
      </c>
      <c r="C384" s="3" t="s">
        <v>11</v>
      </c>
      <c r="D384" s="3" t="s">
        <v>18</v>
      </c>
      <c r="E384" s="3">
        <v>96024</v>
      </c>
      <c r="F384" s="3">
        <v>357618</v>
      </c>
      <c r="G384" s="3" t="s">
        <v>22</v>
      </c>
      <c r="H384" s="3" t="s">
        <v>19</v>
      </c>
      <c r="I384" s="3">
        <v>381</v>
      </c>
      <c r="J384" s="5" t="s">
        <v>15</v>
      </c>
      <c r="K384" s="3" t="str">
        <f t="shared" si="5"/>
        <v>Dr. Luis Adams</v>
      </c>
    </row>
    <row r="385" spans="1:11" x14ac:dyDescent="0.35">
      <c r="A385" s="4">
        <v>384</v>
      </c>
      <c r="B385" s="3" t="s">
        <v>407</v>
      </c>
      <c r="C385" s="3" t="s">
        <v>11</v>
      </c>
      <c r="D385" s="3" t="s">
        <v>21</v>
      </c>
      <c r="E385" s="3">
        <v>95642</v>
      </c>
      <c r="F385" s="3">
        <v>18245</v>
      </c>
      <c r="G385" s="3" t="s">
        <v>22</v>
      </c>
      <c r="H385" s="3" t="s">
        <v>19</v>
      </c>
      <c r="I385" s="3">
        <v>709</v>
      </c>
      <c r="J385" s="5" t="s">
        <v>32</v>
      </c>
      <c r="K385" s="3" t="str">
        <f t="shared" si="5"/>
        <v>Dr. Luis Adams</v>
      </c>
    </row>
    <row r="386" spans="1:11" x14ac:dyDescent="0.35">
      <c r="A386" s="4">
        <v>385</v>
      </c>
      <c r="B386" s="3" t="s">
        <v>408</v>
      </c>
      <c r="C386" s="3" t="s">
        <v>17</v>
      </c>
      <c r="D386" s="3" t="s">
        <v>21</v>
      </c>
      <c r="E386" s="3">
        <v>41797</v>
      </c>
      <c r="F386" s="3">
        <v>424814</v>
      </c>
      <c r="G386" s="3" t="s">
        <v>13</v>
      </c>
      <c r="H386" s="3" t="s">
        <v>23</v>
      </c>
      <c r="I386" s="3">
        <v>877</v>
      </c>
      <c r="J386" s="5" t="s">
        <v>24</v>
      </c>
      <c r="K386" s="3" t="str">
        <f t="shared" ref="K386:K449" si="6">_xlfn.XLOOKUP(H386,$M$2:$M$5,$N$2:$N$5)</f>
        <v>Patricia Nielsen</v>
      </c>
    </row>
    <row r="387" spans="1:11" x14ac:dyDescent="0.35">
      <c r="A387" s="4">
        <v>386</v>
      </c>
      <c r="B387" s="3" t="s">
        <v>409</v>
      </c>
      <c r="C387" s="3" t="s">
        <v>17</v>
      </c>
      <c r="D387" s="3" t="s">
        <v>12</v>
      </c>
      <c r="E387" s="3">
        <v>89014</v>
      </c>
      <c r="F387" s="3">
        <v>148525</v>
      </c>
      <c r="G387" s="3" t="s">
        <v>13</v>
      </c>
      <c r="H387" s="3" t="s">
        <v>26</v>
      </c>
      <c r="I387" s="3">
        <v>888</v>
      </c>
      <c r="J387" s="5" t="s">
        <v>24</v>
      </c>
      <c r="K387" s="3" t="str">
        <f t="shared" si="6"/>
        <v>Audrey Russell</v>
      </c>
    </row>
    <row r="388" spans="1:11" x14ac:dyDescent="0.35">
      <c r="A388" s="4">
        <v>387</v>
      </c>
      <c r="B388" s="3" t="s">
        <v>410</v>
      </c>
      <c r="C388" s="3" t="s">
        <v>11</v>
      </c>
      <c r="D388" s="3" t="s">
        <v>21</v>
      </c>
      <c r="E388" s="3">
        <v>83924</v>
      </c>
      <c r="F388" s="3">
        <v>159994</v>
      </c>
      <c r="G388" s="3" t="s">
        <v>22</v>
      </c>
      <c r="H388" s="3" t="s">
        <v>14</v>
      </c>
      <c r="I388" s="3">
        <v>797</v>
      </c>
      <c r="J388" s="5" t="s">
        <v>15</v>
      </c>
      <c r="K388" s="3" t="str">
        <f t="shared" si="6"/>
        <v>Mrs. Molly Jones MD</v>
      </c>
    </row>
    <row r="389" spans="1:11" x14ac:dyDescent="0.35">
      <c r="A389" s="4">
        <v>388</v>
      </c>
      <c r="B389" s="3" t="s">
        <v>411</v>
      </c>
      <c r="C389" s="3" t="s">
        <v>17</v>
      </c>
      <c r="D389" s="3" t="s">
        <v>21</v>
      </c>
      <c r="E389" s="3">
        <v>46377</v>
      </c>
      <c r="F389" s="3">
        <v>488524</v>
      </c>
      <c r="G389" s="3" t="s">
        <v>13</v>
      </c>
      <c r="H389" s="3" t="s">
        <v>23</v>
      </c>
      <c r="I389" s="3">
        <v>404</v>
      </c>
      <c r="J389" s="5" t="s">
        <v>15</v>
      </c>
      <c r="K389" s="3" t="str">
        <f t="shared" si="6"/>
        <v>Patricia Nielsen</v>
      </c>
    </row>
    <row r="390" spans="1:11" x14ac:dyDescent="0.35">
      <c r="A390" s="4">
        <v>389</v>
      </c>
      <c r="B390" s="3" t="s">
        <v>412</v>
      </c>
      <c r="C390" s="3" t="s">
        <v>11</v>
      </c>
      <c r="D390" s="3" t="s">
        <v>12</v>
      </c>
      <c r="E390" s="3">
        <v>29769</v>
      </c>
      <c r="F390" s="3">
        <v>293493</v>
      </c>
      <c r="G390" s="3" t="s">
        <v>13</v>
      </c>
      <c r="H390" s="3" t="s">
        <v>14</v>
      </c>
      <c r="I390" s="3">
        <v>580</v>
      </c>
      <c r="J390" s="5" t="s">
        <v>24</v>
      </c>
      <c r="K390" s="3" t="str">
        <f t="shared" si="6"/>
        <v>Mrs. Molly Jones MD</v>
      </c>
    </row>
    <row r="391" spans="1:11" x14ac:dyDescent="0.35">
      <c r="A391" s="4">
        <v>390</v>
      </c>
      <c r="B391" s="3" t="s">
        <v>413</v>
      </c>
      <c r="C391" s="3" t="s">
        <v>11</v>
      </c>
      <c r="D391" s="3" t="s">
        <v>18</v>
      </c>
      <c r="E391" s="3">
        <v>47238</v>
      </c>
      <c r="F391" s="3">
        <v>177180</v>
      </c>
      <c r="G391" s="3" t="s">
        <v>13</v>
      </c>
      <c r="H391" s="3" t="s">
        <v>23</v>
      </c>
      <c r="I391" s="3">
        <v>439</v>
      </c>
      <c r="J391" s="5" t="s">
        <v>32</v>
      </c>
      <c r="K391" s="3" t="str">
        <f t="shared" si="6"/>
        <v>Patricia Nielsen</v>
      </c>
    </row>
    <row r="392" spans="1:11" x14ac:dyDescent="0.35">
      <c r="A392" s="4">
        <v>391</v>
      </c>
      <c r="B392" s="3" t="s">
        <v>414</v>
      </c>
      <c r="C392" s="3" t="s">
        <v>17</v>
      </c>
      <c r="D392" s="3" t="s">
        <v>12</v>
      </c>
      <c r="E392" s="3">
        <v>96630</v>
      </c>
      <c r="F392" s="3">
        <v>406826</v>
      </c>
      <c r="G392" s="3" t="s">
        <v>13</v>
      </c>
      <c r="H392" s="3" t="s">
        <v>26</v>
      </c>
      <c r="I392" s="3">
        <v>664</v>
      </c>
      <c r="J392" s="5" t="s">
        <v>32</v>
      </c>
      <c r="K392" s="3" t="str">
        <f t="shared" si="6"/>
        <v>Audrey Russell</v>
      </c>
    </row>
    <row r="393" spans="1:11" x14ac:dyDescent="0.35">
      <c r="A393" s="4">
        <v>392</v>
      </c>
      <c r="B393" s="3" t="s">
        <v>415</v>
      </c>
      <c r="C393" s="3" t="s">
        <v>11</v>
      </c>
      <c r="D393" s="3" t="s">
        <v>18</v>
      </c>
      <c r="E393" s="3">
        <v>112875</v>
      </c>
      <c r="F393" s="3">
        <v>343632</v>
      </c>
      <c r="G393" s="3" t="s">
        <v>13</v>
      </c>
      <c r="H393" s="3" t="s">
        <v>19</v>
      </c>
      <c r="I393" s="3">
        <v>524</v>
      </c>
      <c r="J393" s="5" t="s">
        <v>15</v>
      </c>
      <c r="K393" s="3" t="str">
        <f t="shared" si="6"/>
        <v>Dr. Luis Adams</v>
      </c>
    </row>
    <row r="394" spans="1:11" x14ac:dyDescent="0.35">
      <c r="A394" s="4">
        <v>393</v>
      </c>
      <c r="B394" s="3" t="s">
        <v>416</v>
      </c>
      <c r="C394" s="3" t="s">
        <v>11</v>
      </c>
      <c r="D394" s="3" t="s">
        <v>12</v>
      </c>
      <c r="E394" s="3">
        <v>64476</v>
      </c>
      <c r="F394" s="3">
        <v>351870</v>
      </c>
      <c r="G394" s="3" t="s">
        <v>22</v>
      </c>
      <c r="H394" s="3" t="s">
        <v>26</v>
      </c>
      <c r="I394" s="3">
        <v>607</v>
      </c>
      <c r="J394" s="5" t="s">
        <v>24</v>
      </c>
      <c r="K394" s="3" t="str">
        <f t="shared" si="6"/>
        <v>Audrey Russell</v>
      </c>
    </row>
    <row r="395" spans="1:11" x14ac:dyDescent="0.35">
      <c r="A395" s="4">
        <v>394</v>
      </c>
      <c r="B395" s="3" t="s">
        <v>417</v>
      </c>
      <c r="C395" s="3" t="s">
        <v>17</v>
      </c>
      <c r="D395" s="3" t="s">
        <v>12</v>
      </c>
      <c r="E395" s="3">
        <v>34265</v>
      </c>
      <c r="F395" s="3">
        <v>432670</v>
      </c>
      <c r="G395" s="3" t="s">
        <v>13</v>
      </c>
      <c r="H395" s="3" t="s">
        <v>19</v>
      </c>
      <c r="I395" s="3">
        <v>527</v>
      </c>
      <c r="J395" s="5" t="s">
        <v>32</v>
      </c>
      <c r="K395" s="3" t="str">
        <f t="shared" si="6"/>
        <v>Dr. Luis Adams</v>
      </c>
    </row>
    <row r="396" spans="1:11" x14ac:dyDescent="0.35">
      <c r="A396" s="4">
        <v>395</v>
      </c>
      <c r="B396" s="3" t="s">
        <v>418</v>
      </c>
      <c r="C396" s="3" t="s">
        <v>17</v>
      </c>
      <c r="D396" s="3" t="s">
        <v>12</v>
      </c>
      <c r="E396" s="3">
        <v>20888</v>
      </c>
      <c r="F396" s="3">
        <v>375774</v>
      </c>
      <c r="G396" s="3" t="s">
        <v>22</v>
      </c>
      <c r="H396" s="3" t="s">
        <v>23</v>
      </c>
      <c r="I396" s="3">
        <v>510</v>
      </c>
      <c r="J396" s="5" t="s">
        <v>15</v>
      </c>
      <c r="K396" s="3" t="str">
        <f t="shared" si="6"/>
        <v>Patricia Nielsen</v>
      </c>
    </row>
    <row r="397" spans="1:11" x14ac:dyDescent="0.35">
      <c r="A397" s="4">
        <v>396</v>
      </c>
      <c r="B397" s="3" t="s">
        <v>419</v>
      </c>
      <c r="C397" s="3" t="s">
        <v>11</v>
      </c>
      <c r="D397" s="3" t="s">
        <v>12</v>
      </c>
      <c r="E397" s="3">
        <v>43252</v>
      </c>
      <c r="F397" s="3">
        <v>328845</v>
      </c>
      <c r="G397" s="3" t="s">
        <v>13</v>
      </c>
      <c r="H397" s="3" t="s">
        <v>23</v>
      </c>
      <c r="I397" s="3">
        <v>823</v>
      </c>
      <c r="J397" s="5" t="s">
        <v>32</v>
      </c>
      <c r="K397" s="3" t="str">
        <f t="shared" si="6"/>
        <v>Patricia Nielsen</v>
      </c>
    </row>
    <row r="398" spans="1:11" x14ac:dyDescent="0.35">
      <c r="A398" s="4">
        <v>397</v>
      </c>
      <c r="B398" s="3" t="s">
        <v>420</v>
      </c>
      <c r="C398" s="3" t="s">
        <v>11</v>
      </c>
      <c r="D398" s="3" t="s">
        <v>12</v>
      </c>
      <c r="E398" s="3">
        <v>53210</v>
      </c>
      <c r="F398" s="3">
        <v>182004</v>
      </c>
      <c r="G398" s="3" t="s">
        <v>22</v>
      </c>
      <c r="H398" s="3" t="s">
        <v>14</v>
      </c>
      <c r="I398" s="3">
        <v>869</v>
      </c>
      <c r="J398" s="5" t="s">
        <v>15</v>
      </c>
      <c r="K398" s="3" t="str">
        <f t="shared" si="6"/>
        <v>Mrs. Molly Jones MD</v>
      </c>
    </row>
    <row r="399" spans="1:11" x14ac:dyDescent="0.35">
      <c r="A399" s="4">
        <v>398</v>
      </c>
      <c r="B399" s="3" t="s">
        <v>421</v>
      </c>
      <c r="C399" s="3" t="s">
        <v>11</v>
      </c>
      <c r="D399" s="3" t="s">
        <v>12</v>
      </c>
      <c r="E399" s="3">
        <v>109620</v>
      </c>
      <c r="F399" s="3">
        <v>373484</v>
      </c>
      <c r="G399" s="3" t="s">
        <v>13</v>
      </c>
      <c r="H399" s="3" t="s">
        <v>23</v>
      </c>
      <c r="I399" s="3">
        <v>474</v>
      </c>
      <c r="J399" s="5" t="s">
        <v>32</v>
      </c>
      <c r="K399" s="3" t="str">
        <f t="shared" si="6"/>
        <v>Patricia Nielsen</v>
      </c>
    </row>
    <row r="400" spans="1:11" x14ac:dyDescent="0.35">
      <c r="A400" s="4">
        <v>399</v>
      </c>
      <c r="B400" s="3" t="s">
        <v>422</v>
      </c>
      <c r="C400" s="3" t="s">
        <v>17</v>
      </c>
      <c r="D400" s="3" t="s">
        <v>12</v>
      </c>
      <c r="E400" s="3">
        <v>110143</v>
      </c>
      <c r="F400" s="3">
        <v>331325</v>
      </c>
      <c r="G400" s="3" t="s">
        <v>22</v>
      </c>
      <c r="H400" s="3" t="s">
        <v>19</v>
      </c>
      <c r="I400" s="3">
        <v>513</v>
      </c>
      <c r="J400" s="5" t="s">
        <v>24</v>
      </c>
      <c r="K400" s="3" t="str">
        <f t="shared" si="6"/>
        <v>Dr. Luis Adams</v>
      </c>
    </row>
    <row r="401" spans="1:11" x14ac:dyDescent="0.35">
      <c r="A401" s="4">
        <v>400</v>
      </c>
      <c r="B401" s="3" t="s">
        <v>423</v>
      </c>
      <c r="C401" s="3" t="s">
        <v>17</v>
      </c>
      <c r="D401" s="3" t="s">
        <v>21</v>
      </c>
      <c r="E401" s="3">
        <v>46643</v>
      </c>
      <c r="F401" s="3">
        <v>350841</v>
      </c>
      <c r="G401" s="3" t="s">
        <v>13</v>
      </c>
      <c r="H401" s="3" t="s">
        <v>14</v>
      </c>
      <c r="I401" s="3">
        <v>509</v>
      </c>
      <c r="J401" s="5" t="s">
        <v>32</v>
      </c>
      <c r="K401" s="3" t="str">
        <f t="shared" si="6"/>
        <v>Mrs. Molly Jones MD</v>
      </c>
    </row>
    <row r="402" spans="1:11" x14ac:dyDescent="0.35">
      <c r="A402" s="4">
        <v>401</v>
      </c>
      <c r="B402" s="3" t="s">
        <v>424</v>
      </c>
      <c r="C402" s="3" t="s">
        <v>17</v>
      </c>
      <c r="D402" s="3" t="s">
        <v>18</v>
      </c>
      <c r="E402" s="3">
        <v>43224</v>
      </c>
      <c r="F402" s="3">
        <v>327416</v>
      </c>
      <c r="G402" s="3" t="s">
        <v>13</v>
      </c>
      <c r="H402" s="3" t="s">
        <v>26</v>
      </c>
      <c r="I402" s="3">
        <v>305</v>
      </c>
      <c r="J402" s="5" t="s">
        <v>24</v>
      </c>
      <c r="K402" s="3" t="str">
        <f t="shared" si="6"/>
        <v>Audrey Russell</v>
      </c>
    </row>
    <row r="403" spans="1:11" x14ac:dyDescent="0.35">
      <c r="A403" s="4">
        <v>402</v>
      </c>
      <c r="B403" s="3" t="s">
        <v>425</v>
      </c>
      <c r="C403" s="3" t="s">
        <v>17</v>
      </c>
      <c r="D403" s="3" t="s">
        <v>12</v>
      </c>
      <c r="E403" s="3">
        <v>115215</v>
      </c>
      <c r="F403" s="3">
        <v>153672</v>
      </c>
      <c r="G403" s="3" t="s">
        <v>22</v>
      </c>
      <c r="H403" s="3" t="s">
        <v>23</v>
      </c>
      <c r="I403" s="3">
        <v>463</v>
      </c>
      <c r="J403" s="5" t="s">
        <v>24</v>
      </c>
      <c r="K403" s="3" t="str">
        <f t="shared" si="6"/>
        <v>Patricia Nielsen</v>
      </c>
    </row>
    <row r="404" spans="1:11" x14ac:dyDescent="0.35">
      <c r="A404" s="4">
        <v>403</v>
      </c>
      <c r="B404" s="3" t="s">
        <v>426</v>
      </c>
      <c r="C404" s="3" t="s">
        <v>17</v>
      </c>
      <c r="D404" s="3" t="s">
        <v>21</v>
      </c>
      <c r="E404" s="3">
        <v>100579</v>
      </c>
      <c r="F404" s="3">
        <v>238932</v>
      </c>
      <c r="G404" s="3" t="s">
        <v>22</v>
      </c>
      <c r="H404" s="3" t="s">
        <v>23</v>
      </c>
      <c r="I404" s="3">
        <v>346</v>
      </c>
      <c r="J404" s="5" t="s">
        <v>15</v>
      </c>
      <c r="K404" s="3" t="str">
        <f t="shared" si="6"/>
        <v>Patricia Nielsen</v>
      </c>
    </row>
    <row r="405" spans="1:11" x14ac:dyDescent="0.35">
      <c r="A405" s="4">
        <v>404</v>
      </c>
      <c r="B405" s="3" t="s">
        <v>427</v>
      </c>
      <c r="C405" s="3" t="s">
        <v>11</v>
      </c>
      <c r="D405" s="3" t="s">
        <v>18</v>
      </c>
      <c r="E405" s="3">
        <v>82644</v>
      </c>
      <c r="F405" s="3">
        <v>135520</v>
      </c>
      <c r="G405" s="3" t="s">
        <v>22</v>
      </c>
      <c r="H405" s="3" t="s">
        <v>23</v>
      </c>
      <c r="I405" s="3">
        <v>782</v>
      </c>
      <c r="J405" s="5" t="s">
        <v>32</v>
      </c>
      <c r="K405" s="3" t="str">
        <f t="shared" si="6"/>
        <v>Patricia Nielsen</v>
      </c>
    </row>
    <row r="406" spans="1:11" x14ac:dyDescent="0.35">
      <c r="A406" s="4">
        <v>405</v>
      </c>
      <c r="B406" s="3" t="s">
        <v>428</v>
      </c>
      <c r="C406" s="3" t="s">
        <v>11</v>
      </c>
      <c r="D406" s="3" t="s">
        <v>18</v>
      </c>
      <c r="E406" s="3">
        <v>52905</v>
      </c>
      <c r="F406" s="3">
        <v>282046</v>
      </c>
      <c r="G406" s="3" t="s">
        <v>13</v>
      </c>
      <c r="H406" s="3" t="s">
        <v>23</v>
      </c>
      <c r="I406" s="3">
        <v>797</v>
      </c>
      <c r="J406" s="5" t="s">
        <v>32</v>
      </c>
      <c r="K406" s="3" t="str">
        <f t="shared" si="6"/>
        <v>Patricia Nielsen</v>
      </c>
    </row>
    <row r="407" spans="1:11" x14ac:dyDescent="0.35">
      <c r="A407" s="4">
        <v>406</v>
      </c>
      <c r="B407" s="3" t="s">
        <v>429</v>
      </c>
      <c r="C407" s="3" t="s">
        <v>17</v>
      </c>
      <c r="D407" s="3" t="s">
        <v>18</v>
      </c>
      <c r="E407" s="3">
        <v>40233</v>
      </c>
      <c r="F407" s="3">
        <v>272537</v>
      </c>
      <c r="G407" s="3" t="s">
        <v>22</v>
      </c>
      <c r="H407" s="3" t="s">
        <v>26</v>
      </c>
      <c r="I407" s="3">
        <v>349</v>
      </c>
      <c r="J407" s="5" t="s">
        <v>24</v>
      </c>
      <c r="K407" s="3" t="str">
        <f t="shared" si="6"/>
        <v>Audrey Russell</v>
      </c>
    </row>
    <row r="408" spans="1:11" x14ac:dyDescent="0.35">
      <c r="A408" s="4">
        <v>407</v>
      </c>
      <c r="B408" s="3" t="s">
        <v>430</v>
      </c>
      <c r="C408" s="3" t="s">
        <v>11</v>
      </c>
      <c r="D408" s="3" t="s">
        <v>12</v>
      </c>
      <c r="E408" s="3">
        <v>51820</v>
      </c>
      <c r="F408" s="3">
        <v>295892</v>
      </c>
      <c r="G408" s="3" t="s">
        <v>22</v>
      </c>
      <c r="H408" s="3" t="s">
        <v>14</v>
      </c>
      <c r="I408" s="3">
        <v>710</v>
      </c>
      <c r="J408" s="5" t="s">
        <v>24</v>
      </c>
      <c r="K408" s="3" t="str">
        <f t="shared" si="6"/>
        <v>Mrs. Molly Jones MD</v>
      </c>
    </row>
    <row r="409" spans="1:11" x14ac:dyDescent="0.35">
      <c r="A409" s="4">
        <v>408</v>
      </c>
      <c r="B409" s="3" t="s">
        <v>431</v>
      </c>
      <c r="C409" s="3" t="s">
        <v>17</v>
      </c>
      <c r="D409" s="3" t="s">
        <v>18</v>
      </c>
      <c r="E409" s="3">
        <v>109857</v>
      </c>
      <c r="F409" s="3">
        <v>441670</v>
      </c>
      <c r="G409" s="3" t="s">
        <v>22</v>
      </c>
      <c r="H409" s="3" t="s">
        <v>19</v>
      </c>
      <c r="I409" s="3">
        <v>529</v>
      </c>
      <c r="J409" s="5" t="s">
        <v>15</v>
      </c>
      <c r="K409" s="3" t="str">
        <f t="shared" si="6"/>
        <v>Dr. Luis Adams</v>
      </c>
    </row>
    <row r="410" spans="1:11" x14ac:dyDescent="0.35">
      <c r="A410" s="4">
        <v>409</v>
      </c>
      <c r="B410" s="3" t="s">
        <v>432</v>
      </c>
      <c r="C410" s="3" t="s">
        <v>17</v>
      </c>
      <c r="D410" s="3" t="s">
        <v>21</v>
      </c>
      <c r="E410" s="3">
        <v>85962</v>
      </c>
      <c r="F410" s="3">
        <v>427802</v>
      </c>
      <c r="G410" s="3" t="s">
        <v>13</v>
      </c>
      <c r="H410" s="3" t="s">
        <v>14</v>
      </c>
      <c r="I410" s="3">
        <v>872</v>
      </c>
      <c r="J410" s="5" t="s">
        <v>15</v>
      </c>
      <c r="K410" s="3" t="str">
        <f t="shared" si="6"/>
        <v>Mrs. Molly Jones MD</v>
      </c>
    </row>
    <row r="411" spans="1:11" x14ac:dyDescent="0.35">
      <c r="A411" s="4">
        <v>410</v>
      </c>
      <c r="B411" s="3" t="s">
        <v>433</v>
      </c>
      <c r="C411" s="3" t="s">
        <v>11</v>
      </c>
      <c r="D411" s="3" t="s">
        <v>12</v>
      </c>
      <c r="E411" s="3">
        <v>113977</v>
      </c>
      <c r="F411" s="3">
        <v>233476</v>
      </c>
      <c r="G411" s="3" t="s">
        <v>13</v>
      </c>
      <c r="H411" s="3" t="s">
        <v>19</v>
      </c>
      <c r="I411" s="3">
        <v>705</v>
      </c>
      <c r="J411" s="5" t="s">
        <v>32</v>
      </c>
      <c r="K411" s="3" t="str">
        <f t="shared" si="6"/>
        <v>Dr. Luis Adams</v>
      </c>
    </row>
    <row r="412" spans="1:11" x14ac:dyDescent="0.35">
      <c r="A412" s="4">
        <v>411</v>
      </c>
      <c r="B412" s="3" t="s">
        <v>434</v>
      </c>
      <c r="C412" s="3" t="s">
        <v>17</v>
      </c>
      <c r="D412" s="3" t="s">
        <v>18</v>
      </c>
      <c r="E412" s="3">
        <v>110404</v>
      </c>
      <c r="F412" s="3">
        <v>115921</v>
      </c>
      <c r="G412" s="3" t="s">
        <v>22</v>
      </c>
      <c r="H412" s="3" t="s">
        <v>23</v>
      </c>
      <c r="I412" s="3">
        <v>746</v>
      </c>
      <c r="J412" s="5" t="s">
        <v>32</v>
      </c>
      <c r="K412" s="3" t="str">
        <f t="shared" si="6"/>
        <v>Patricia Nielsen</v>
      </c>
    </row>
    <row r="413" spans="1:11" x14ac:dyDescent="0.35">
      <c r="A413" s="4">
        <v>412</v>
      </c>
      <c r="B413" s="3" t="s">
        <v>435</v>
      </c>
      <c r="C413" s="3" t="s">
        <v>11</v>
      </c>
      <c r="D413" s="3" t="s">
        <v>12</v>
      </c>
      <c r="E413" s="3">
        <v>54017</v>
      </c>
      <c r="F413" s="3">
        <v>360561</v>
      </c>
      <c r="G413" s="3" t="s">
        <v>22</v>
      </c>
      <c r="H413" s="3" t="s">
        <v>26</v>
      </c>
      <c r="I413" s="3">
        <v>305</v>
      </c>
      <c r="J413" s="5" t="s">
        <v>32</v>
      </c>
      <c r="K413" s="3" t="str">
        <f t="shared" si="6"/>
        <v>Audrey Russell</v>
      </c>
    </row>
    <row r="414" spans="1:11" x14ac:dyDescent="0.35">
      <c r="A414" s="4">
        <v>413</v>
      </c>
      <c r="B414" s="3" t="s">
        <v>436</v>
      </c>
      <c r="C414" s="3" t="s">
        <v>11</v>
      </c>
      <c r="D414" s="3" t="s">
        <v>18</v>
      </c>
      <c r="E414" s="3">
        <v>94153</v>
      </c>
      <c r="F414" s="3">
        <v>325705</v>
      </c>
      <c r="G414" s="3" t="s">
        <v>22</v>
      </c>
      <c r="H414" s="3" t="s">
        <v>14</v>
      </c>
      <c r="I414" s="3">
        <v>765</v>
      </c>
      <c r="J414" s="5" t="s">
        <v>32</v>
      </c>
      <c r="K414" s="3" t="str">
        <f t="shared" si="6"/>
        <v>Mrs. Molly Jones MD</v>
      </c>
    </row>
    <row r="415" spans="1:11" x14ac:dyDescent="0.35">
      <c r="A415" s="4">
        <v>414</v>
      </c>
      <c r="B415" s="3" t="s">
        <v>437</v>
      </c>
      <c r="C415" s="3" t="s">
        <v>17</v>
      </c>
      <c r="D415" s="3" t="s">
        <v>21</v>
      </c>
      <c r="E415" s="3">
        <v>116846</v>
      </c>
      <c r="F415" s="3">
        <v>173547</v>
      </c>
      <c r="G415" s="3" t="s">
        <v>22</v>
      </c>
      <c r="H415" s="3" t="s">
        <v>14</v>
      </c>
      <c r="I415" s="3">
        <v>586</v>
      </c>
      <c r="J415" s="5" t="s">
        <v>32</v>
      </c>
      <c r="K415" s="3" t="str">
        <f t="shared" si="6"/>
        <v>Mrs. Molly Jones MD</v>
      </c>
    </row>
    <row r="416" spans="1:11" x14ac:dyDescent="0.35">
      <c r="A416" s="4">
        <v>415</v>
      </c>
      <c r="B416" s="3" t="s">
        <v>438</v>
      </c>
      <c r="C416" s="3" t="s">
        <v>11</v>
      </c>
      <c r="D416" s="3" t="s">
        <v>18</v>
      </c>
      <c r="E416" s="3">
        <v>47752</v>
      </c>
      <c r="F416" s="3">
        <v>134216</v>
      </c>
      <c r="G416" s="3" t="s">
        <v>13</v>
      </c>
      <c r="H416" s="3" t="s">
        <v>23</v>
      </c>
      <c r="I416" s="3">
        <v>302</v>
      </c>
      <c r="J416" s="5" t="s">
        <v>32</v>
      </c>
      <c r="K416" s="3" t="str">
        <f t="shared" si="6"/>
        <v>Patricia Nielsen</v>
      </c>
    </row>
    <row r="417" spans="1:11" x14ac:dyDescent="0.35">
      <c r="A417" s="4">
        <v>416</v>
      </c>
      <c r="B417" s="3" t="s">
        <v>439</v>
      </c>
      <c r="C417" s="3" t="s">
        <v>17</v>
      </c>
      <c r="D417" s="3" t="s">
        <v>21</v>
      </c>
      <c r="E417" s="3">
        <v>63745</v>
      </c>
      <c r="F417" s="3">
        <v>161814</v>
      </c>
      <c r="G417" s="3" t="s">
        <v>13</v>
      </c>
      <c r="H417" s="3" t="s">
        <v>19</v>
      </c>
      <c r="I417" s="3">
        <v>868</v>
      </c>
      <c r="J417" s="5" t="s">
        <v>24</v>
      </c>
      <c r="K417" s="3" t="str">
        <f t="shared" si="6"/>
        <v>Dr. Luis Adams</v>
      </c>
    </row>
    <row r="418" spans="1:11" x14ac:dyDescent="0.35">
      <c r="A418" s="4">
        <v>417</v>
      </c>
      <c r="B418" s="3" t="s">
        <v>440</v>
      </c>
      <c r="C418" s="3" t="s">
        <v>11</v>
      </c>
      <c r="D418" s="3" t="s">
        <v>12</v>
      </c>
      <c r="E418" s="3">
        <v>95238</v>
      </c>
      <c r="F418" s="3">
        <v>186434</v>
      </c>
      <c r="G418" s="3" t="s">
        <v>13</v>
      </c>
      <c r="H418" s="3" t="s">
        <v>14</v>
      </c>
      <c r="I418" s="3">
        <v>540</v>
      </c>
      <c r="J418" s="5" t="s">
        <v>24</v>
      </c>
      <c r="K418" s="3" t="str">
        <f t="shared" si="6"/>
        <v>Mrs. Molly Jones MD</v>
      </c>
    </row>
    <row r="419" spans="1:11" x14ac:dyDescent="0.35">
      <c r="A419" s="4">
        <v>418</v>
      </c>
      <c r="B419" s="3" t="s">
        <v>441</v>
      </c>
      <c r="C419" s="3" t="s">
        <v>17</v>
      </c>
      <c r="D419" s="3" t="s">
        <v>12</v>
      </c>
      <c r="E419" s="3">
        <v>64180</v>
      </c>
      <c r="F419" s="3">
        <v>169197</v>
      </c>
      <c r="G419" s="3" t="s">
        <v>22</v>
      </c>
      <c r="H419" s="3" t="s">
        <v>14</v>
      </c>
      <c r="I419" s="3">
        <v>801</v>
      </c>
      <c r="J419" s="5" t="s">
        <v>32</v>
      </c>
      <c r="K419" s="3" t="str">
        <f t="shared" si="6"/>
        <v>Mrs. Molly Jones MD</v>
      </c>
    </row>
    <row r="420" spans="1:11" x14ac:dyDescent="0.35">
      <c r="A420" s="4">
        <v>419</v>
      </c>
      <c r="B420" s="3" t="s">
        <v>442</v>
      </c>
      <c r="C420" s="3" t="s">
        <v>17</v>
      </c>
      <c r="D420" s="3" t="s">
        <v>18</v>
      </c>
      <c r="E420" s="3">
        <v>32329</v>
      </c>
      <c r="F420" s="3">
        <v>457166</v>
      </c>
      <c r="G420" s="3" t="s">
        <v>22</v>
      </c>
      <c r="H420" s="3" t="s">
        <v>14</v>
      </c>
      <c r="I420" s="3">
        <v>512</v>
      </c>
      <c r="J420" s="5" t="s">
        <v>24</v>
      </c>
      <c r="K420" s="3" t="str">
        <f t="shared" si="6"/>
        <v>Mrs. Molly Jones MD</v>
      </c>
    </row>
    <row r="421" spans="1:11" x14ac:dyDescent="0.35">
      <c r="A421" s="4">
        <v>420</v>
      </c>
      <c r="B421" s="3" t="s">
        <v>443</v>
      </c>
      <c r="C421" s="3" t="s">
        <v>17</v>
      </c>
      <c r="D421" s="3" t="s">
        <v>21</v>
      </c>
      <c r="E421" s="3">
        <v>58041</v>
      </c>
      <c r="F421" s="3">
        <v>362990</v>
      </c>
      <c r="G421" s="3" t="s">
        <v>22</v>
      </c>
      <c r="H421" s="3" t="s">
        <v>26</v>
      </c>
      <c r="I421" s="3">
        <v>519</v>
      </c>
      <c r="J421" s="5" t="s">
        <v>32</v>
      </c>
      <c r="K421" s="3" t="str">
        <f t="shared" si="6"/>
        <v>Audrey Russell</v>
      </c>
    </row>
    <row r="422" spans="1:11" x14ac:dyDescent="0.35">
      <c r="A422" s="4">
        <v>421</v>
      </c>
      <c r="B422" s="3" t="s">
        <v>444</v>
      </c>
      <c r="C422" s="3" t="s">
        <v>11</v>
      </c>
      <c r="D422" s="3" t="s">
        <v>12</v>
      </c>
      <c r="E422" s="3">
        <v>104413</v>
      </c>
      <c r="F422" s="3">
        <v>161532</v>
      </c>
      <c r="G422" s="3" t="s">
        <v>22</v>
      </c>
      <c r="H422" s="3" t="s">
        <v>19</v>
      </c>
      <c r="I422" s="3">
        <v>379</v>
      </c>
      <c r="J422" s="5" t="s">
        <v>24</v>
      </c>
      <c r="K422" s="3" t="str">
        <f t="shared" si="6"/>
        <v>Dr. Luis Adams</v>
      </c>
    </row>
    <row r="423" spans="1:11" x14ac:dyDescent="0.35">
      <c r="A423" s="4">
        <v>422</v>
      </c>
      <c r="B423" s="3" t="s">
        <v>445</v>
      </c>
      <c r="C423" s="3" t="s">
        <v>17</v>
      </c>
      <c r="D423" s="3" t="s">
        <v>21</v>
      </c>
      <c r="E423" s="3">
        <v>56015</v>
      </c>
      <c r="F423" s="3">
        <v>157019</v>
      </c>
      <c r="G423" s="3" t="s">
        <v>13</v>
      </c>
      <c r="H423" s="3" t="s">
        <v>19</v>
      </c>
      <c r="I423" s="3">
        <v>729</v>
      </c>
      <c r="J423" s="5" t="s">
        <v>15</v>
      </c>
      <c r="K423" s="3" t="str">
        <f t="shared" si="6"/>
        <v>Dr. Luis Adams</v>
      </c>
    </row>
    <row r="424" spans="1:11" x14ac:dyDescent="0.35">
      <c r="A424" s="4">
        <v>423</v>
      </c>
      <c r="B424" s="3" t="s">
        <v>446</v>
      </c>
      <c r="C424" s="3" t="s">
        <v>11</v>
      </c>
      <c r="D424" s="3" t="s">
        <v>21</v>
      </c>
      <c r="E424" s="3">
        <v>102409</v>
      </c>
      <c r="F424" s="3">
        <v>42769</v>
      </c>
      <c r="G424" s="3" t="s">
        <v>22</v>
      </c>
      <c r="H424" s="3" t="s">
        <v>19</v>
      </c>
      <c r="I424" s="3">
        <v>870</v>
      </c>
      <c r="J424" s="5" t="s">
        <v>24</v>
      </c>
      <c r="K424" s="3" t="str">
        <f t="shared" si="6"/>
        <v>Dr. Luis Adams</v>
      </c>
    </row>
    <row r="425" spans="1:11" x14ac:dyDescent="0.35">
      <c r="A425" s="4">
        <v>424</v>
      </c>
      <c r="B425" s="3" t="s">
        <v>447</v>
      </c>
      <c r="C425" s="3" t="s">
        <v>17</v>
      </c>
      <c r="D425" s="3" t="s">
        <v>12</v>
      </c>
      <c r="E425" s="3">
        <v>88315</v>
      </c>
      <c r="F425" s="3">
        <v>370362</v>
      </c>
      <c r="G425" s="3" t="s">
        <v>13</v>
      </c>
      <c r="H425" s="3" t="s">
        <v>19</v>
      </c>
      <c r="I425" s="3">
        <v>876</v>
      </c>
      <c r="J425" s="5" t="s">
        <v>32</v>
      </c>
      <c r="K425" s="3" t="str">
        <f t="shared" si="6"/>
        <v>Dr. Luis Adams</v>
      </c>
    </row>
    <row r="426" spans="1:11" x14ac:dyDescent="0.35">
      <c r="A426" s="4">
        <v>425</v>
      </c>
      <c r="B426" s="3" t="s">
        <v>448</v>
      </c>
      <c r="C426" s="3" t="s">
        <v>17</v>
      </c>
      <c r="D426" s="3" t="s">
        <v>12</v>
      </c>
      <c r="E426" s="3">
        <v>29101</v>
      </c>
      <c r="F426" s="3">
        <v>296790</v>
      </c>
      <c r="G426" s="3" t="s">
        <v>22</v>
      </c>
      <c r="H426" s="3" t="s">
        <v>26</v>
      </c>
      <c r="I426" s="3">
        <v>475</v>
      </c>
      <c r="J426" s="5" t="s">
        <v>15</v>
      </c>
      <c r="K426" s="3" t="str">
        <f t="shared" si="6"/>
        <v>Audrey Russell</v>
      </c>
    </row>
    <row r="427" spans="1:11" x14ac:dyDescent="0.35">
      <c r="A427" s="4">
        <v>426</v>
      </c>
      <c r="B427" s="3" t="s">
        <v>449</v>
      </c>
      <c r="C427" s="3" t="s">
        <v>11</v>
      </c>
      <c r="D427" s="3" t="s">
        <v>12</v>
      </c>
      <c r="E427" s="3">
        <v>75967</v>
      </c>
      <c r="F427" s="3">
        <v>318048</v>
      </c>
      <c r="G427" s="3" t="s">
        <v>22</v>
      </c>
      <c r="H427" s="3" t="s">
        <v>26</v>
      </c>
      <c r="I427" s="3">
        <v>467</v>
      </c>
      <c r="J427" s="5" t="s">
        <v>15</v>
      </c>
      <c r="K427" s="3" t="str">
        <f t="shared" si="6"/>
        <v>Audrey Russell</v>
      </c>
    </row>
    <row r="428" spans="1:11" x14ac:dyDescent="0.35">
      <c r="A428" s="4">
        <v>427</v>
      </c>
      <c r="B428" s="3" t="s">
        <v>450</v>
      </c>
      <c r="C428" s="3" t="s">
        <v>17</v>
      </c>
      <c r="D428" s="3" t="s">
        <v>12</v>
      </c>
      <c r="E428" s="3">
        <v>43247</v>
      </c>
      <c r="F428" s="3">
        <v>459621</v>
      </c>
      <c r="G428" s="3" t="s">
        <v>13</v>
      </c>
      <c r="H428" s="3" t="s">
        <v>19</v>
      </c>
      <c r="I428" s="3">
        <v>589</v>
      </c>
      <c r="J428" s="5" t="s">
        <v>15</v>
      </c>
      <c r="K428" s="3" t="str">
        <f t="shared" si="6"/>
        <v>Dr. Luis Adams</v>
      </c>
    </row>
    <row r="429" spans="1:11" x14ac:dyDescent="0.35">
      <c r="A429" s="4">
        <v>428</v>
      </c>
      <c r="B429" s="3" t="s">
        <v>451</v>
      </c>
      <c r="C429" s="3" t="s">
        <v>11</v>
      </c>
      <c r="D429" s="3" t="s">
        <v>12</v>
      </c>
      <c r="E429" s="3">
        <v>91652</v>
      </c>
      <c r="F429" s="3">
        <v>273773</v>
      </c>
      <c r="G429" s="3" t="s">
        <v>13</v>
      </c>
      <c r="H429" s="3" t="s">
        <v>14</v>
      </c>
      <c r="I429" s="3">
        <v>691</v>
      </c>
      <c r="J429" s="5" t="s">
        <v>32</v>
      </c>
      <c r="K429" s="3" t="str">
        <f t="shared" si="6"/>
        <v>Mrs. Molly Jones MD</v>
      </c>
    </row>
    <row r="430" spans="1:11" x14ac:dyDescent="0.35">
      <c r="A430" s="4">
        <v>429</v>
      </c>
      <c r="B430" s="3" t="s">
        <v>452</v>
      </c>
      <c r="C430" s="3" t="s">
        <v>11</v>
      </c>
      <c r="D430" s="3" t="s">
        <v>12</v>
      </c>
      <c r="E430" s="3">
        <v>116443</v>
      </c>
      <c r="F430" s="3">
        <v>389585</v>
      </c>
      <c r="G430" s="3" t="s">
        <v>13</v>
      </c>
      <c r="H430" s="3" t="s">
        <v>26</v>
      </c>
      <c r="I430" s="3">
        <v>392</v>
      </c>
      <c r="J430" s="5" t="s">
        <v>24</v>
      </c>
      <c r="K430" s="3" t="str">
        <f t="shared" si="6"/>
        <v>Audrey Russell</v>
      </c>
    </row>
    <row r="431" spans="1:11" x14ac:dyDescent="0.35">
      <c r="A431" s="4">
        <v>430</v>
      </c>
      <c r="B431" s="3" t="s">
        <v>453</v>
      </c>
      <c r="C431" s="3" t="s">
        <v>11</v>
      </c>
      <c r="D431" s="3" t="s">
        <v>18</v>
      </c>
      <c r="E431" s="3">
        <v>25874</v>
      </c>
      <c r="F431" s="3">
        <v>171916</v>
      </c>
      <c r="G431" s="3" t="s">
        <v>13</v>
      </c>
      <c r="H431" s="3" t="s">
        <v>14</v>
      </c>
      <c r="I431" s="3">
        <v>513</v>
      </c>
      <c r="J431" s="5" t="s">
        <v>24</v>
      </c>
      <c r="K431" s="3" t="str">
        <f t="shared" si="6"/>
        <v>Mrs. Molly Jones MD</v>
      </c>
    </row>
    <row r="432" spans="1:11" x14ac:dyDescent="0.35">
      <c r="A432" s="4">
        <v>431</v>
      </c>
      <c r="B432" s="3" t="s">
        <v>454</v>
      </c>
      <c r="C432" s="3" t="s">
        <v>11</v>
      </c>
      <c r="D432" s="3" t="s">
        <v>21</v>
      </c>
      <c r="E432" s="3">
        <v>98764</v>
      </c>
      <c r="F432" s="3">
        <v>314613</v>
      </c>
      <c r="G432" s="3" t="s">
        <v>13</v>
      </c>
      <c r="H432" s="3" t="s">
        <v>23</v>
      </c>
      <c r="I432" s="3">
        <v>352</v>
      </c>
      <c r="J432" s="5" t="s">
        <v>15</v>
      </c>
      <c r="K432" s="3" t="str">
        <f t="shared" si="6"/>
        <v>Patricia Nielsen</v>
      </c>
    </row>
    <row r="433" spans="1:11" x14ac:dyDescent="0.35">
      <c r="A433" s="4">
        <v>432</v>
      </c>
      <c r="B433" s="3" t="s">
        <v>455</v>
      </c>
      <c r="C433" s="3" t="s">
        <v>11</v>
      </c>
      <c r="D433" s="3" t="s">
        <v>21</v>
      </c>
      <c r="E433" s="3">
        <v>86017</v>
      </c>
      <c r="F433" s="3">
        <v>455745</v>
      </c>
      <c r="G433" s="3" t="s">
        <v>22</v>
      </c>
      <c r="H433" s="3" t="s">
        <v>19</v>
      </c>
      <c r="I433" s="3">
        <v>637</v>
      </c>
      <c r="J433" s="5" t="s">
        <v>24</v>
      </c>
      <c r="K433" s="3" t="str">
        <f t="shared" si="6"/>
        <v>Dr. Luis Adams</v>
      </c>
    </row>
    <row r="434" spans="1:11" x14ac:dyDescent="0.35">
      <c r="A434" s="4">
        <v>433</v>
      </c>
      <c r="B434" s="3" t="s">
        <v>456</v>
      </c>
      <c r="C434" s="3" t="s">
        <v>11</v>
      </c>
      <c r="D434" s="3" t="s">
        <v>18</v>
      </c>
      <c r="E434" s="3">
        <v>82283</v>
      </c>
      <c r="F434" s="3">
        <v>320908</v>
      </c>
      <c r="G434" s="3" t="s">
        <v>22</v>
      </c>
      <c r="H434" s="3" t="s">
        <v>19</v>
      </c>
      <c r="I434" s="3">
        <v>322</v>
      </c>
      <c r="J434" s="5" t="s">
        <v>15</v>
      </c>
      <c r="K434" s="3" t="str">
        <f t="shared" si="6"/>
        <v>Dr. Luis Adams</v>
      </c>
    </row>
    <row r="435" spans="1:11" x14ac:dyDescent="0.35">
      <c r="A435" s="4">
        <v>434</v>
      </c>
      <c r="B435" s="3" t="s">
        <v>457</v>
      </c>
      <c r="C435" s="3" t="s">
        <v>17</v>
      </c>
      <c r="D435" s="3" t="s">
        <v>12</v>
      </c>
      <c r="E435" s="3">
        <v>59037</v>
      </c>
      <c r="F435" s="3">
        <v>10220</v>
      </c>
      <c r="G435" s="3" t="s">
        <v>13</v>
      </c>
      <c r="H435" s="3" t="s">
        <v>19</v>
      </c>
      <c r="I435" s="3">
        <v>540</v>
      </c>
      <c r="J435" s="5" t="s">
        <v>15</v>
      </c>
      <c r="K435" s="3" t="str">
        <f t="shared" si="6"/>
        <v>Dr. Luis Adams</v>
      </c>
    </row>
    <row r="436" spans="1:11" x14ac:dyDescent="0.35">
      <c r="A436" s="4">
        <v>435</v>
      </c>
      <c r="B436" s="3" t="s">
        <v>458</v>
      </c>
      <c r="C436" s="3" t="s">
        <v>11</v>
      </c>
      <c r="D436" s="3" t="s">
        <v>12</v>
      </c>
      <c r="E436" s="3">
        <v>21626</v>
      </c>
      <c r="F436" s="3">
        <v>447028</v>
      </c>
      <c r="G436" s="3" t="s">
        <v>22</v>
      </c>
      <c r="H436" s="3" t="s">
        <v>23</v>
      </c>
      <c r="I436" s="3">
        <v>320</v>
      </c>
      <c r="J436" s="5" t="s">
        <v>24</v>
      </c>
      <c r="K436" s="3" t="str">
        <f t="shared" si="6"/>
        <v>Patricia Nielsen</v>
      </c>
    </row>
    <row r="437" spans="1:11" x14ac:dyDescent="0.35">
      <c r="A437" s="4">
        <v>436</v>
      </c>
      <c r="B437" s="3" t="s">
        <v>459</v>
      </c>
      <c r="C437" s="3" t="s">
        <v>11</v>
      </c>
      <c r="D437" s="3" t="s">
        <v>21</v>
      </c>
      <c r="E437" s="3">
        <v>39885</v>
      </c>
      <c r="F437" s="3">
        <v>147155</v>
      </c>
      <c r="G437" s="3" t="s">
        <v>13</v>
      </c>
      <c r="H437" s="3" t="s">
        <v>14</v>
      </c>
      <c r="I437" s="3">
        <v>345</v>
      </c>
      <c r="J437" s="5" t="s">
        <v>32</v>
      </c>
      <c r="K437" s="3" t="str">
        <f t="shared" si="6"/>
        <v>Mrs. Molly Jones MD</v>
      </c>
    </row>
    <row r="438" spans="1:11" x14ac:dyDescent="0.35">
      <c r="A438" s="4">
        <v>437</v>
      </c>
      <c r="B438" s="3" t="s">
        <v>460</v>
      </c>
      <c r="C438" s="3" t="s">
        <v>17</v>
      </c>
      <c r="D438" s="3" t="s">
        <v>18</v>
      </c>
      <c r="E438" s="3">
        <v>51010</v>
      </c>
      <c r="F438" s="3">
        <v>497896</v>
      </c>
      <c r="G438" s="3" t="s">
        <v>22</v>
      </c>
      <c r="H438" s="3" t="s">
        <v>14</v>
      </c>
      <c r="I438" s="3">
        <v>349</v>
      </c>
      <c r="J438" s="5" t="s">
        <v>32</v>
      </c>
      <c r="K438" s="3" t="str">
        <f t="shared" si="6"/>
        <v>Mrs. Molly Jones MD</v>
      </c>
    </row>
    <row r="439" spans="1:11" x14ac:dyDescent="0.35">
      <c r="A439" s="4">
        <v>438</v>
      </c>
      <c r="B439" s="3" t="s">
        <v>461</v>
      </c>
      <c r="C439" s="3" t="s">
        <v>17</v>
      </c>
      <c r="D439" s="3" t="s">
        <v>12</v>
      </c>
      <c r="E439" s="3">
        <v>84574</v>
      </c>
      <c r="F439" s="3">
        <v>222804</v>
      </c>
      <c r="G439" s="3" t="s">
        <v>22</v>
      </c>
      <c r="H439" s="3" t="s">
        <v>26</v>
      </c>
      <c r="I439" s="3">
        <v>574</v>
      </c>
      <c r="J439" s="5" t="s">
        <v>32</v>
      </c>
      <c r="K439" s="3" t="str">
        <f t="shared" si="6"/>
        <v>Audrey Russell</v>
      </c>
    </row>
    <row r="440" spans="1:11" x14ac:dyDescent="0.35">
      <c r="A440" s="4">
        <v>439</v>
      </c>
      <c r="B440" s="3" t="s">
        <v>462</v>
      </c>
      <c r="C440" s="3" t="s">
        <v>17</v>
      </c>
      <c r="D440" s="3" t="s">
        <v>21</v>
      </c>
      <c r="E440" s="3">
        <v>62925</v>
      </c>
      <c r="F440" s="3">
        <v>460672</v>
      </c>
      <c r="G440" s="3" t="s">
        <v>22</v>
      </c>
      <c r="H440" s="3" t="s">
        <v>26</v>
      </c>
      <c r="I440" s="3">
        <v>473</v>
      </c>
      <c r="J440" s="5" t="s">
        <v>24</v>
      </c>
      <c r="K440" s="3" t="str">
        <f t="shared" si="6"/>
        <v>Audrey Russell</v>
      </c>
    </row>
    <row r="441" spans="1:11" x14ac:dyDescent="0.35">
      <c r="A441" s="4">
        <v>440</v>
      </c>
      <c r="B441" s="3" t="s">
        <v>463</v>
      </c>
      <c r="C441" s="3" t="s">
        <v>11</v>
      </c>
      <c r="D441" s="3" t="s">
        <v>12</v>
      </c>
      <c r="E441" s="3">
        <v>20759</v>
      </c>
      <c r="F441" s="3">
        <v>464295</v>
      </c>
      <c r="G441" s="3" t="s">
        <v>22</v>
      </c>
      <c r="H441" s="3" t="s">
        <v>19</v>
      </c>
      <c r="I441" s="3">
        <v>305</v>
      </c>
      <c r="J441" s="5" t="s">
        <v>15</v>
      </c>
      <c r="K441" s="3" t="str">
        <f t="shared" si="6"/>
        <v>Dr. Luis Adams</v>
      </c>
    </row>
    <row r="442" spans="1:11" x14ac:dyDescent="0.35">
      <c r="A442" s="4">
        <v>441</v>
      </c>
      <c r="B442" s="3" t="s">
        <v>464</v>
      </c>
      <c r="C442" s="3" t="s">
        <v>11</v>
      </c>
      <c r="D442" s="3" t="s">
        <v>18</v>
      </c>
      <c r="E442" s="3">
        <v>31223</v>
      </c>
      <c r="F442" s="3">
        <v>184848</v>
      </c>
      <c r="G442" s="3" t="s">
        <v>13</v>
      </c>
      <c r="H442" s="3" t="s">
        <v>19</v>
      </c>
      <c r="I442" s="3">
        <v>814</v>
      </c>
      <c r="J442" s="5" t="s">
        <v>24</v>
      </c>
      <c r="K442" s="3" t="str">
        <f t="shared" si="6"/>
        <v>Dr. Luis Adams</v>
      </c>
    </row>
    <row r="443" spans="1:11" x14ac:dyDescent="0.35">
      <c r="A443" s="4">
        <v>442</v>
      </c>
      <c r="B443" s="3" t="s">
        <v>465</v>
      </c>
      <c r="C443" s="3" t="s">
        <v>11</v>
      </c>
      <c r="D443" s="3" t="s">
        <v>21</v>
      </c>
      <c r="E443" s="3">
        <v>82496</v>
      </c>
      <c r="F443" s="3">
        <v>467399</v>
      </c>
      <c r="G443" s="3" t="s">
        <v>13</v>
      </c>
      <c r="H443" s="3" t="s">
        <v>23</v>
      </c>
      <c r="I443" s="3">
        <v>866</v>
      </c>
      <c r="J443" s="5" t="s">
        <v>32</v>
      </c>
      <c r="K443" s="3" t="str">
        <f t="shared" si="6"/>
        <v>Patricia Nielsen</v>
      </c>
    </row>
    <row r="444" spans="1:11" x14ac:dyDescent="0.35">
      <c r="A444" s="4">
        <v>443</v>
      </c>
      <c r="B444" s="3" t="s">
        <v>466</v>
      </c>
      <c r="C444" s="3" t="s">
        <v>17</v>
      </c>
      <c r="D444" s="3" t="s">
        <v>12</v>
      </c>
      <c r="E444" s="3">
        <v>68720</v>
      </c>
      <c r="F444" s="3">
        <v>265281</v>
      </c>
      <c r="G444" s="3" t="s">
        <v>22</v>
      </c>
      <c r="H444" s="3" t="s">
        <v>14</v>
      </c>
      <c r="I444" s="3">
        <v>398</v>
      </c>
      <c r="J444" s="5" t="s">
        <v>15</v>
      </c>
      <c r="K444" s="3" t="str">
        <f t="shared" si="6"/>
        <v>Mrs. Molly Jones MD</v>
      </c>
    </row>
    <row r="445" spans="1:11" x14ac:dyDescent="0.35">
      <c r="A445" s="4">
        <v>444</v>
      </c>
      <c r="B445" s="3" t="s">
        <v>467</v>
      </c>
      <c r="C445" s="3" t="s">
        <v>17</v>
      </c>
      <c r="D445" s="3" t="s">
        <v>21</v>
      </c>
      <c r="E445" s="3">
        <v>24608</v>
      </c>
      <c r="F445" s="3">
        <v>341624</v>
      </c>
      <c r="G445" s="3" t="s">
        <v>22</v>
      </c>
      <c r="H445" s="3" t="s">
        <v>23</v>
      </c>
      <c r="I445" s="3">
        <v>363</v>
      </c>
      <c r="J445" s="5" t="s">
        <v>15</v>
      </c>
      <c r="K445" s="3" t="str">
        <f t="shared" si="6"/>
        <v>Patricia Nielsen</v>
      </c>
    </row>
    <row r="446" spans="1:11" x14ac:dyDescent="0.35">
      <c r="A446" s="4">
        <v>445</v>
      </c>
      <c r="B446" s="3" t="s">
        <v>468</v>
      </c>
      <c r="C446" s="3" t="s">
        <v>11</v>
      </c>
      <c r="D446" s="3" t="s">
        <v>18</v>
      </c>
      <c r="E446" s="3">
        <v>109404</v>
      </c>
      <c r="F446" s="3">
        <v>115283</v>
      </c>
      <c r="G446" s="3" t="s">
        <v>13</v>
      </c>
      <c r="H446" s="3" t="s">
        <v>23</v>
      </c>
      <c r="I446" s="3">
        <v>484</v>
      </c>
      <c r="J446" s="5" t="s">
        <v>24</v>
      </c>
      <c r="K446" s="3" t="str">
        <f t="shared" si="6"/>
        <v>Patricia Nielsen</v>
      </c>
    </row>
    <row r="447" spans="1:11" x14ac:dyDescent="0.35">
      <c r="A447" s="4">
        <v>446</v>
      </c>
      <c r="B447" s="3" t="s">
        <v>469</v>
      </c>
      <c r="C447" s="3" t="s">
        <v>17</v>
      </c>
      <c r="D447" s="3" t="s">
        <v>12</v>
      </c>
      <c r="E447" s="3">
        <v>77642</v>
      </c>
      <c r="F447" s="3">
        <v>176332</v>
      </c>
      <c r="G447" s="3" t="s">
        <v>22</v>
      </c>
      <c r="H447" s="3" t="s">
        <v>14</v>
      </c>
      <c r="I447" s="3">
        <v>683</v>
      </c>
      <c r="J447" s="5" t="s">
        <v>32</v>
      </c>
      <c r="K447" s="3" t="str">
        <f t="shared" si="6"/>
        <v>Mrs. Molly Jones MD</v>
      </c>
    </row>
    <row r="448" spans="1:11" x14ac:dyDescent="0.35">
      <c r="A448" s="4">
        <v>447</v>
      </c>
      <c r="B448" s="3" t="s">
        <v>470</v>
      </c>
      <c r="C448" s="3" t="s">
        <v>17</v>
      </c>
      <c r="D448" s="3" t="s">
        <v>18</v>
      </c>
      <c r="E448" s="3">
        <v>92556</v>
      </c>
      <c r="F448" s="3">
        <v>50843</v>
      </c>
      <c r="G448" s="3" t="s">
        <v>22</v>
      </c>
      <c r="H448" s="3" t="s">
        <v>23</v>
      </c>
      <c r="I448" s="3">
        <v>733</v>
      </c>
      <c r="J448" s="5" t="s">
        <v>24</v>
      </c>
      <c r="K448" s="3" t="str">
        <f t="shared" si="6"/>
        <v>Patricia Nielsen</v>
      </c>
    </row>
    <row r="449" spans="1:11" x14ac:dyDescent="0.35">
      <c r="A449" s="4">
        <v>448</v>
      </c>
      <c r="B449" s="3" t="s">
        <v>471</v>
      </c>
      <c r="C449" s="3" t="s">
        <v>11</v>
      </c>
      <c r="D449" s="3" t="s">
        <v>21</v>
      </c>
      <c r="E449" s="3">
        <v>71936</v>
      </c>
      <c r="F449" s="3">
        <v>30995</v>
      </c>
      <c r="G449" s="3" t="s">
        <v>13</v>
      </c>
      <c r="H449" s="3" t="s">
        <v>14</v>
      </c>
      <c r="I449" s="3">
        <v>429</v>
      </c>
      <c r="J449" s="5" t="s">
        <v>32</v>
      </c>
      <c r="K449" s="3" t="str">
        <f t="shared" si="6"/>
        <v>Mrs. Molly Jones MD</v>
      </c>
    </row>
    <row r="450" spans="1:11" x14ac:dyDescent="0.35">
      <c r="A450" s="4">
        <v>449</v>
      </c>
      <c r="B450" s="3" t="s">
        <v>472</v>
      </c>
      <c r="C450" s="3" t="s">
        <v>11</v>
      </c>
      <c r="D450" s="3" t="s">
        <v>21</v>
      </c>
      <c r="E450" s="3">
        <v>86066</v>
      </c>
      <c r="F450" s="3">
        <v>7882</v>
      </c>
      <c r="G450" s="3" t="s">
        <v>13</v>
      </c>
      <c r="H450" s="3" t="s">
        <v>14</v>
      </c>
      <c r="I450" s="3">
        <v>847</v>
      </c>
      <c r="J450" s="5" t="s">
        <v>15</v>
      </c>
      <c r="K450" s="3" t="str">
        <f t="shared" ref="K450:K501" si="7">_xlfn.XLOOKUP(H450,$M$2:$M$5,$N$2:$N$5)</f>
        <v>Mrs. Molly Jones MD</v>
      </c>
    </row>
    <row r="451" spans="1:11" x14ac:dyDescent="0.35">
      <c r="A451" s="4">
        <v>450</v>
      </c>
      <c r="B451" s="3" t="s">
        <v>473</v>
      </c>
      <c r="C451" s="3" t="s">
        <v>11</v>
      </c>
      <c r="D451" s="3" t="s">
        <v>12</v>
      </c>
      <c r="E451" s="3">
        <v>67695</v>
      </c>
      <c r="F451" s="3">
        <v>88758</v>
      </c>
      <c r="G451" s="3" t="s">
        <v>13</v>
      </c>
      <c r="H451" s="3" t="s">
        <v>19</v>
      </c>
      <c r="I451" s="3">
        <v>412</v>
      </c>
      <c r="J451" s="5" t="s">
        <v>15</v>
      </c>
      <c r="K451" s="3" t="str">
        <f t="shared" si="7"/>
        <v>Dr. Luis Adams</v>
      </c>
    </row>
    <row r="452" spans="1:11" x14ac:dyDescent="0.35">
      <c r="A452" s="4">
        <v>451</v>
      </c>
      <c r="B452" s="3" t="s">
        <v>474</v>
      </c>
      <c r="C452" s="3" t="s">
        <v>11</v>
      </c>
      <c r="D452" s="3" t="s">
        <v>21</v>
      </c>
      <c r="E452" s="3">
        <v>90168</v>
      </c>
      <c r="F452" s="3">
        <v>385299</v>
      </c>
      <c r="G452" s="3" t="s">
        <v>22</v>
      </c>
      <c r="H452" s="3" t="s">
        <v>19</v>
      </c>
      <c r="I452" s="3">
        <v>432</v>
      </c>
      <c r="J452" s="5" t="s">
        <v>15</v>
      </c>
      <c r="K452" s="3" t="str">
        <f t="shared" si="7"/>
        <v>Dr. Luis Adams</v>
      </c>
    </row>
    <row r="453" spans="1:11" x14ac:dyDescent="0.35">
      <c r="A453" s="4">
        <v>452</v>
      </c>
      <c r="B453" s="3" t="s">
        <v>475</v>
      </c>
      <c r="C453" s="3" t="s">
        <v>17</v>
      </c>
      <c r="D453" s="3" t="s">
        <v>12</v>
      </c>
      <c r="E453" s="3">
        <v>74671</v>
      </c>
      <c r="F453" s="3">
        <v>294173</v>
      </c>
      <c r="G453" s="3" t="s">
        <v>22</v>
      </c>
      <c r="H453" s="3" t="s">
        <v>23</v>
      </c>
      <c r="I453" s="3">
        <v>859</v>
      </c>
      <c r="J453" s="5" t="s">
        <v>24</v>
      </c>
      <c r="K453" s="3" t="str">
        <f t="shared" si="7"/>
        <v>Patricia Nielsen</v>
      </c>
    </row>
    <row r="454" spans="1:11" x14ac:dyDescent="0.35">
      <c r="A454" s="4">
        <v>453</v>
      </c>
      <c r="B454" s="3" t="s">
        <v>476</v>
      </c>
      <c r="C454" s="3" t="s">
        <v>17</v>
      </c>
      <c r="D454" s="3" t="s">
        <v>21</v>
      </c>
      <c r="E454" s="3">
        <v>75195</v>
      </c>
      <c r="F454" s="3">
        <v>166350</v>
      </c>
      <c r="G454" s="3" t="s">
        <v>22</v>
      </c>
      <c r="H454" s="3" t="s">
        <v>23</v>
      </c>
      <c r="I454" s="3">
        <v>660</v>
      </c>
      <c r="J454" s="5" t="s">
        <v>24</v>
      </c>
      <c r="K454" s="3" t="str">
        <f t="shared" si="7"/>
        <v>Patricia Nielsen</v>
      </c>
    </row>
    <row r="455" spans="1:11" x14ac:dyDescent="0.35">
      <c r="A455" s="4">
        <v>454</v>
      </c>
      <c r="B455" s="3" t="s">
        <v>477</v>
      </c>
      <c r="C455" s="3" t="s">
        <v>11</v>
      </c>
      <c r="D455" s="3" t="s">
        <v>12</v>
      </c>
      <c r="E455" s="3">
        <v>42216</v>
      </c>
      <c r="F455" s="3">
        <v>289463</v>
      </c>
      <c r="G455" s="3" t="s">
        <v>13</v>
      </c>
      <c r="H455" s="3" t="s">
        <v>19</v>
      </c>
      <c r="I455" s="3">
        <v>710</v>
      </c>
      <c r="J455" s="5" t="s">
        <v>24</v>
      </c>
      <c r="K455" s="3" t="str">
        <f t="shared" si="7"/>
        <v>Dr. Luis Adams</v>
      </c>
    </row>
    <row r="456" spans="1:11" x14ac:dyDescent="0.35">
      <c r="A456" s="4">
        <v>455</v>
      </c>
      <c r="B456" s="3" t="s">
        <v>478</v>
      </c>
      <c r="C456" s="3" t="s">
        <v>11</v>
      </c>
      <c r="D456" s="3" t="s">
        <v>12</v>
      </c>
      <c r="E456" s="3">
        <v>119562</v>
      </c>
      <c r="F456" s="3">
        <v>291086</v>
      </c>
      <c r="G456" s="3" t="s">
        <v>13</v>
      </c>
      <c r="H456" s="3" t="s">
        <v>26</v>
      </c>
      <c r="I456" s="3">
        <v>372</v>
      </c>
      <c r="J456" s="5" t="s">
        <v>24</v>
      </c>
      <c r="K456" s="3" t="str">
        <f t="shared" si="7"/>
        <v>Audrey Russell</v>
      </c>
    </row>
    <row r="457" spans="1:11" x14ac:dyDescent="0.35">
      <c r="A457" s="4">
        <v>456</v>
      </c>
      <c r="B457" s="3" t="s">
        <v>479</v>
      </c>
      <c r="C457" s="3" t="s">
        <v>17</v>
      </c>
      <c r="D457" s="3" t="s">
        <v>18</v>
      </c>
      <c r="E457" s="3">
        <v>90527</v>
      </c>
      <c r="F457" s="3">
        <v>320570</v>
      </c>
      <c r="G457" s="3" t="s">
        <v>22</v>
      </c>
      <c r="H457" s="3" t="s">
        <v>23</v>
      </c>
      <c r="I457" s="3">
        <v>431</v>
      </c>
      <c r="J457" s="5" t="s">
        <v>15</v>
      </c>
      <c r="K457" s="3" t="str">
        <f t="shared" si="7"/>
        <v>Patricia Nielsen</v>
      </c>
    </row>
    <row r="458" spans="1:11" x14ac:dyDescent="0.35">
      <c r="A458" s="4">
        <v>457</v>
      </c>
      <c r="B458" s="3" t="s">
        <v>480</v>
      </c>
      <c r="C458" s="3" t="s">
        <v>17</v>
      </c>
      <c r="D458" s="3" t="s">
        <v>12</v>
      </c>
      <c r="E458" s="3">
        <v>76827</v>
      </c>
      <c r="F458" s="3">
        <v>210506</v>
      </c>
      <c r="G458" s="3" t="s">
        <v>13</v>
      </c>
      <c r="H458" s="3" t="s">
        <v>19</v>
      </c>
      <c r="I458" s="3">
        <v>625</v>
      </c>
      <c r="J458" s="5" t="s">
        <v>24</v>
      </c>
      <c r="K458" s="3" t="str">
        <f t="shared" si="7"/>
        <v>Dr. Luis Adams</v>
      </c>
    </row>
    <row r="459" spans="1:11" x14ac:dyDescent="0.35">
      <c r="A459" s="4">
        <v>458</v>
      </c>
      <c r="B459" s="3" t="s">
        <v>481</v>
      </c>
      <c r="C459" s="3" t="s">
        <v>11</v>
      </c>
      <c r="D459" s="3" t="s">
        <v>18</v>
      </c>
      <c r="E459" s="3">
        <v>93294</v>
      </c>
      <c r="F459" s="3">
        <v>372522</v>
      </c>
      <c r="G459" s="3" t="s">
        <v>13</v>
      </c>
      <c r="H459" s="3" t="s">
        <v>19</v>
      </c>
      <c r="I459" s="3">
        <v>335</v>
      </c>
      <c r="J459" s="5" t="s">
        <v>32</v>
      </c>
      <c r="K459" s="3" t="str">
        <f t="shared" si="7"/>
        <v>Dr. Luis Adams</v>
      </c>
    </row>
    <row r="460" spans="1:11" x14ac:dyDescent="0.35">
      <c r="A460" s="4">
        <v>459</v>
      </c>
      <c r="B460" s="3" t="s">
        <v>482</v>
      </c>
      <c r="C460" s="3" t="s">
        <v>11</v>
      </c>
      <c r="D460" s="3" t="s">
        <v>12</v>
      </c>
      <c r="E460" s="3">
        <v>48588</v>
      </c>
      <c r="F460" s="3">
        <v>245475</v>
      </c>
      <c r="G460" s="3" t="s">
        <v>13</v>
      </c>
      <c r="H460" s="3" t="s">
        <v>26</v>
      </c>
      <c r="I460" s="3">
        <v>516</v>
      </c>
      <c r="J460" s="5" t="s">
        <v>32</v>
      </c>
      <c r="K460" s="3" t="str">
        <f t="shared" si="7"/>
        <v>Audrey Russell</v>
      </c>
    </row>
    <row r="461" spans="1:11" x14ac:dyDescent="0.35">
      <c r="A461" s="4">
        <v>460</v>
      </c>
      <c r="B461" s="3" t="s">
        <v>483</v>
      </c>
      <c r="C461" s="3" t="s">
        <v>11</v>
      </c>
      <c r="D461" s="3" t="s">
        <v>12</v>
      </c>
      <c r="E461" s="3">
        <v>46989</v>
      </c>
      <c r="F461" s="3">
        <v>166967</v>
      </c>
      <c r="G461" s="3" t="s">
        <v>22</v>
      </c>
      <c r="H461" s="3" t="s">
        <v>19</v>
      </c>
      <c r="I461" s="3">
        <v>414</v>
      </c>
      <c r="J461" s="5" t="s">
        <v>32</v>
      </c>
      <c r="K461" s="3" t="str">
        <f t="shared" si="7"/>
        <v>Dr. Luis Adams</v>
      </c>
    </row>
    <row r="462" spans="1:11" x14ac:dyDescent="0.35">
      <c r="A462" s="4">
        <v>461</v>
      </c>
      <c r="B462" s="3" t="s">
        <v>484</v>
      </c>
      <c r="C462" s="3" t="s">
        <v>11</v>
      </c>
      <c r="D462" s="3" t="s">
        <v>12</v>
      </c>
      <c r="E462" s="3">
        <v>64075</v>
      </c>
      <c r="F462" s="3">
        <v>452040</v>
      </c>
      <c r="G462" s="3" t="s">
        <v>13</v>
      </c>
      <c r="H462" s="3" t="s">
        <v>23</v>
      </c>
      <c r="I462" s="3">
        <v>840</v>
      </c>
      <c r="J462" s="5" t="s">
        <v>15</v>
      </c>
      <c r="K462" s="3" t="str">
        <f t="shared" si="7"/>
        <v>Patricia Nielsen</v>
      </c>
    </row>
    <row r="463" spans="1:11" x14ac:dyDescent="0.35">
      <c r="A463" s="4">
        <v>462</v>
      </c>
      <c r="B463" s="3" t="s">
        <v>485</v>
      </c>
      <c r="C463" s="3" t="s">
        <v>11</v>
      </c>
      <c r="D463" s="3" t="s">
        <v>21</v>
      </c>
      <c r="E463" s="3">
        <v>73930</v>
      </c>
      <c r="F463" s="3">
        <v>21286</v>
      </c>
      <c r="G463" s="3" t="s">
        <v>13</v>
      </c>
      <c r="H463" s="3" t="s">
        <v>19</v>
      </c>
      <c r="I463" s="3">
        <v>778</v>
      </c>
      <c r="J463" s="5" t="s">
        <v>15</v>
      </c>
      <c r="K463" s="3" t="str">
        <f t="shared" si="7"/>
        <v>Dr. Luis Adams</v>
      </c>
    </row>
    <row r="464" spans="1:11" x14ac:dyDescent="0.35">
      <c r="A464" s="4">
        <v>463</v>
      </c>
      <c r="B464" s="3" t="s">
        <v>486</v>
      </c>
      <c r="C464" s="3" t="s">
        <v>17</v>
      </c>
      <c r="D464" s="3" t="s">
        <v>18</v>
      </c>
      <c r="E464" s="3">
        <v>60385</v>
      </c>
      <c r="F464" s="3">
        <v>247626</v>
      </c>
      <c r="G464" s="3" t="s">
        <v>22</v>
      </c>
      <c r="H464" s="3" t="s">
        <v>19</v>
      </c>
      <c r="I464" s="3">
        <v>743</v>
      </c>
      <c r="J464" s="5" t="s">
        <v>24</v>
      </c>
      <c r="K464" s="3" t="str">
        <f t="shared" si="7"/>
        <v>Dr. Luis Adams</v>
      </c>
    </row>
    <row r="465" spans="1:11" x14ac:dyDescent="0.35">
      <c r="A465" s="4">
        <v>464</v>
      </c>
      <c r="B465" s="3" t="s">
        <v>487</v>
      </c>
      <c r="C465" s="3" t="s">
        <v>11</v>
      </c>
      <c r="D465" s="3" t="s">
        <v>21</v>
      </c>
      <c r="E465" s="3">
        <v>107128</v>
      </c>
      <c r="F465" s="3">
        <v>22133</v>
      </c>
      <c r="G465" s="3" t="s">
        <v>13</v>
      </c>
      <c r="H465" s="3" t="s">
        <v>26</v>
      </c>
      <c r="I465" s="3">
        <v>783</v>
      </c>
      <c r="J465" s="5" t="s">
        <v>24</v>
      </c>
      <c r="K465" s="3" t="str">
        <f t="shared" si="7"/>
        <v>Audrey Russell</v>
      </c>
    </row>
    <row r="466" spans="1:11" x14ac:dyDescent="0.35">
      <c r="A466" s="4">
        <v>465</v>
      </c>
      <c r="B466" s="3" t="s">
        <v>488</v>
      </c>
      <c r="C466" s="3" t="s">
        <v>17</v>
      </c>
      <c r="D466" s="3" t="s">
        <v>12</v>
      </c>
      <c r="E466" s="3">
        <v>61777</v>
      </c>
      <c r="F466" s="3">
        <v>29512</v>
      </c>
      <c r="G466" s="3" t="s">
        <v>13</v>
      </c>
      <c r="H466" s="3" t="s">
        <v>14</v>
      </c>
      <c r="I466" s="3">
        <v>750</v>
      </c>
      <c r="J466" s="5" t="s">
        <v>32</v>
      </c>
      <c r="K466" s="3" t="str">
        <f t="shared" si="7"/>
        <v>Mrs. Molly Jones MD</v>
      </c>
    </row>
    <row r="467" spans="1:11" x14ac:dyDescent="0.35">
      <c r="A467" s="4">
        <v>466</v>
      </c>
      <c r="B467" s="3" t="s">
        <v>489</v>
      </c>
      <c r="C467" s="3" t="s">
        <v>17</v>
      </c>
      <c r="D467" s="3" t="s">
        <v>12</v>
      </c>
      <c r="E467" s="3">
        <v>25072</v>
      </c>
      <c r="F467" s="3">
        <v>91505</v>
      </c>
      <c r="G467" s="3" t="s">
        <v>13</v>
      </c>
      <c r="H467" s="3" t="s">
        <v>14</v>
      </c>
      <c r="I467" s="3">
        <v>686</v>
      </c>
      <c r="J467" s="5" t="s">
        <v>15</v>
      </c>
      <c r="K467" s="3" t="str">
        <f t="shared" si="7"/>
        <v>Mrs. Molly Jones MD</v>
      </c>
    </row>
    <row r="468" spans="1:11" x14ac:dyDescent="0.35">
      <c r="A468" s="4">
        <v>467</v>
      </c>
      <c r="B468" s="3" t="s">
        <v>490</v>
      </c>
      <c r="C468" s="3" t="s">
        <v>11</v>
      </c>
      <c r="D468" s="3" t="s">
        <v>21</v>
      </c>
      <c r="E468" s="3">
        <v>62980</v>
      </c>
      <c r="F468" s="3">
        <v>391395</v>
      </c>
      <c r="G468" s="3" t="s">
        <v>22</v>
      </c>
      <c r="H468" s="3" t="s">
        <v>19</v>
      </c>
      <c r="I468" s="3">
        <v>325</v>
      </c>
      <c r="J468" s="5" t="s">
        <v>32</v>
      </c>
      <c r="K468" s="3" t="str">
        <f t="shared" si="7"/>
        <v>Dr. Luis Adams</v>
      </c>
    </row>
    <row r="469" spans="1:11" x14ac:dyDescent="0.35">
      <c r="A469" s="4">
        <v>468</v>
      </c>
      <c r="B469" s="3" t="s">
        <v>491</v>
      </c>
      <c r="C469" s="3" t="s">
        <v>11</v>
      </c>
      <c r="D469" s="3" t="s">
        <v>12</v>
      </c>
      <c r="E469" s="3">
        <v>75610</v>
      </c>
      <c r="F469" s="3">
        <v>436055</v>
      </c>
      <c r="G469" s="3" t="s">
        <v>22</v>
      </c>
      <c r="H469" s="3" t="s">
        <v>23</v>
      </c>
      <c r="I469" s="3">
        <v>610</v>
      </c>
      <c r="J469" s="5" t="s">
        <v>24</v>
      </c>
      <c r="K469" s="3" t="str">
        <f t="shared" si="7"/>
        <v>Patricia Nielsen</v>
      </c>
    </row>
    <row r="470" spans="1:11" x14ac:dyDescent="0.35">
      <c r="A470" s="4">
        <v>469</v>
      </c>
      <c r="B470" s="3" t="s">
        <v>492</v>
      </c>
      <c r="C470" s="3" t="s">
        <v>11</v>
      </c>
      <c r="D470" s="3" t="s">
        <v>18</v>
      </c>
      <c r="E470" s="3">
        <v>94437</v>
      </c>
      <c r="F470" s="3">
        <v>459141</v>
      </c>
      <c r="G470" s="3" t="s">
        <v>22</v>
      </c>
      <c r="H470" s="3" t="s">
        <v>19</v>
      </c>
      <c r="I470" s="3">
        <v>393</v>
      </c>
      <c r="J470" s="5" t="s">
        <v>32</v>
      </c>
      <c r="K470" s="3" t="str">
        <f t="shared" si="7"/>
        <v>Dr. Luis Adams</v>
      </c>
    </row>
    <row r="471" spans="1:11" x14ac:dyDescent="0.35">
      <c r="A471" s="4">
        <v>470</v>
      </c>
      <c r="B471" s="3" t="s">
        <v>493</v>
      </c>
      <c r="C471" s="3" t="s">
        <v>11</v>
      </c>
      <c r="D471" s="3" t="s">
        <v>21</v>
      </c>
      <c r="E471" s="3">
        <v>108716</v>
      </c>
      <c r="F471" s="3">
        <v>57258</v>
      </c>
      <c r="G471" s="3" t="s">
        <v>22</v>
      </c>
      <c r="H471" s="3" t="s">
        <v>26</v>
      </c>
      <c r="I471" s="3">
        <v>670</v>
      </c>
      <c r="J471" s="5" t="s">
        <v>24</v>
      </c>
      <c r="K471" s="3" t="str">
        <f t="shared" si="7"/>
        <v>Audrey Russell</v>
      </c>
    </row>
    <row r="472" spans="1:11" x14ac:dyDescent="0.35">
      <c r="A472" s="4">
        <v>471</v>
      </c>
      <c r="B472" s="3" t="s">
        <v>494</v>
      </c>
      <c r="C472" s="3" t="s">
        <v>17</v>
      </c>
      <c r="D472" s="3" t="s">
        <v>18</v>
      </c>
      <c r="E472" s="3">
        <v>71368</v>
      </c>
      <c r="F472" s="3">
        <v>130863</v>
      </c>
      <c r="G472" s="3" t="s">
        <v>13</v>
      </c>
      <c r="H472" s="3" t="s">
        <v>19</v>
      </c>
      <c r="I472" s="3">
        <v>362</v>
      </c>
      <c r="J472" s="5" t="s">
        <v>32</v>
      </c>
      <c r="K472" s="3" t="str">
        <f t="shared" si="7"/>
        <v>Dr. Luis Adams</v>
      </c>
    </row>
    <row r="473" spans="1:11" x14ac:dyDescent="0.35">
      <c r="A473" s="4">
        <v>472</v>
      </c>
      <c r="B473" s="3" t="s">
        <v>495</v>
      </c>
      <c r="C473" s="3" t="s">
        <v>11</v>
      </c>
      <c r="D473" s="3" t="s">
        <v>21</v>
      </c>
      <c r="E473" s="3">
        <v>56863</v>
      </c>
      <c r="F473" s="3">
        <v>228962</v>
      </c>
      <c r="G473" s="3" t="s">
        <v>22</v>
      </c>
      <c r="H473" s="3" t="s">
        <v>23</v>
      </c>
      <c r="I473" s="3">
        <v>717</v>
      </c>
      <c r="J473" s="5" t="s">
        <v>15</v>
      </c>
      <c r="K473" s="3" t="str">
        <f t="shared" si="7"/>
        <v>Patricia Nielsen</v>
      </c>
    </row>
    <row r="474" spans="1:11" x14ac:dyDescent="0.35">
      <c r="A474" s="4">
        <v>473</v>
      </c>
      <c r="B474" s="3" t="s">
        <v>496</v>
      </c>
      <c r="C474" s="3" t="s">
        <v>11</v>
      </c>
      <c r="D474" s="3" t="s">
        <v>12</v>
      </c>
      <c r="E474" s="3">
        <v>101668</v>
      </c>
      <c r="F474" s="3">
        <v>189563</v>
      </c>
      <c r="G474" s="3" t="s">
        <v>13</v>
      </c>
      <c r="H474" s="3" t="s">
        <v>19</v>
      </c>
      <c r="I474" s="3">
        <v>835</v>
      </c>
      <c r="J474" s="5" t="s">
        <v>15</v>
      </c>
      <c r="K474" s="3" t="str">
        <f t="shared" si="7"/>
        <v>Dr. Luis Adams</v>
      </c>
    </row>
    <row r="475" spans="1:11" x14ac:dyDescent="0.35">
      <c r="A475" s="4">
        <v>474</v>
      </c>
      <c r="B475" s="3" t="s">
        <v>497</v>
      </c>
      <c r="C475" s="3" t="s">
        <v>11</v>
      </c>
      <c r="D475" s="3" t="s">
        <v>12</v>
      </c>
      <c r="E475" s="3">
        <v>48777</v>
      </c>
      <c r="F475" s="3">
        <v>461536</v>
      </c>
      <c r="G475" s="3" t="s">
        <v>13</v>
      </c>
      <c r="H475" s="3" t="s">
        <v>19</v>
      </c>
      <c r="I475" s="3">
        <v>472</v>
      </c>
      <c r="J475" s="5" t="s">
        <v>15</v>
      </c>
      <c r="K475" s="3" t="str">
        <f t="shared" si="7"/>
        <v>Dr. Luis Adams</v>
      </c>
    </row>
    <row r="476" spans="1:11" x14ac:dyDescent="0.35">
      <c r="A476" s="4">
        <v>475</v>
      </c>
      <c r="B476" s="3" t="s">
        <v>498</v>
      </c>
      <c r="C476" s="3" t="s">
        <v>11</v>
      </c>
      <c r="D476" s="3" t="s">
        <v>18</v>
      </c>
      <c r="E476" s="3">
        <v>23419</v>
      </c>
      <c r="F476" s="3">
        <v>297979</v>
      </c>
      <c r="G476" s="3" t="s">
        <v>13</v>
      </c>
      <c r="H476" s="3" t="s">
        <v>19</v>
      </c>
      <c r="I476" s="3">
        <v>711</v>
      </c>
      <c r="J476" s="5" t="s">
        <v>32</v>
      </c>
      <c r="K476" s="3" t="str">
        <f t="shared" si="7"/>
        <v>Dr. Luis Adams</v>
      </c>
    </row>
    <row r="477" spans="1:11" x14ac:dyDescent="0.35">
      <c r="A477" s="4">
        <v>476</v>
      </c>
      <c r="B477" s="3" t="s">
        <v>499</v>
      </c>
      <c r="C477" s="3" t="s">
        <v>17</v>
      </c>
      <c r="D477" s="3" t="s">
        <v>18</v>
      </c>
      <c r="E477" s="3">
        <v>100834</v>
      </c>
      <c r="F477" s="3">
        <v>64559</v>
      </c>
      <c r="G477" s="3" t="s">
        <v>22</v>
      </c>
      <c r="H477" s="3" t="s">
        <v>23</v>
      </c>
      <c r="I477" s="3">
        <v>372</v>
      </c>
      <c r="J477" s="5" t="s">
        <v>15</v>
      </c>
      <c r="K477" s="3" t="str">
        <f t="shared" si="7"/>
        <v>Patricia Nielsen</v>
      </c>
    </row>
    <row r="478" spans="1:11" x14ac:dyDescent="0.35">
      <c r="A478" s="4">
        <v>477</v>
      </c>
      <c r="B478" s="3" t="s">
        <v>500</v>
      </c>
      <c r="C478" s="3" t="s">
        <v>11</v>
      </c>
      <c r="D478" s="3" t="s">
        <v>12</v>
      </c>
      <c r="E478" s="3">
        <v>62419</v>
      </c>
      <c r="F478" s="3">
        <v>490433</v>
      </c>
      <c r="G478" s="3" t="s">
        <v>22</v>
      </c>
      <c r="H478" s="3" t="s">
        <v>26</v>
      </c>
      <c r="I478" s="3">
        <v>448</v>
      </c>
      <c r="J478" s="5" t="s">
        <v>32</v>
      </c>
      <c r="K478" s="3" t="str">
        <f t="shared" si="7"/>
        <v>Audrey Russell</v>
      </c>
    </row>
    <row r="479" spans="1:11" x14ac:dyDescent="0.35">
      <c r="A479" s="4">
        <v>478</v>
      </c>
      <c r="B479" s="3" t="s">
        <v>501</v>
      </c>
      <c r="C479" s="3" t="s">
        <v>17</v>
      </c>
      <c r="D479" s="3" t="s">
        <v>12</v>
      </c>
      <c r="E479" s="3">
        <v>81097</v>
      </c>
      <c r="F479" s="3">
        <v>346556</v>
      </c>
      <c r="G479" s="3" t="s">
        <v>22</v>
      </c>
      <c r="H479" s="3" t="s">
        <v>19</v>
      </c>
      <c r="I479" s="3">
        <v>510</v>
      </c>
      <c r="J479" s="5" t="s">
        <v>24</v>
      </c>
      <c r="K479" s="3" t="str">
        <f t="shared" si="7"/>
        <v>Dr. Luis Adams</v>
      </c>
    </row>
    <row r="480" spans="1:11" x14ac:dyDescent="0.35">
      <c r="A480" s="4">
        <v>479</v>
      </c>
      <c r="B480" s="3" t="s">
        <v>502</v>
      </c>
      <c r="C480" s="3" t="s">
        <v>11</v>
      </c>
      <c r="D480" s="3" t="s">
        <v>12</v>
      </c>
      <c r="E480" s="3">
        <v>22640</v>
      </c>
      <c r="F480" s="3">
        <v>151523</v>
      </c>
      <c r="G480" s="3" t="s">
        <v>13</v>
      </c>
      <c r="H480" s="3" t="s">
        <v>19</v>
      </c>
      <c r="I480" s="3">
        <v>830</v>
      </c>
      <c r="J480" s="5" t="s">
        <v>15</v>
      </c>
      <c r="K480" s="3" t="str">
        <f t="shared" si="7"/>
        <v>Dr. Luis Adams</v>
      </c>
    </row>
    <row r="481" spans="1:11" x14ac:dyDescent="0.35">
      <c r="A481" s="4">
        <v>480</v>
      </c>
      <c r="B481" s="3" t="s">
        <v>503</v>
      </c>
      <c r="C481" s="3" t="s">
        <v>11</v>
      </c>
      <c r="D481" s="3" t="s">
        <v>12</v>
      </c>
      <c r="E481" s="3">
        <v>22575</v>
      </c>
      <c r="F481" s="3">
        <v>223490</v>
      </c>
      <c r="G481" s="3" t="s">
        <v>13</v>
      </c>
      <c r="H481" s="3" t="s">
        <v>23</v>
      </c>
      <c r="I481" s="3">
        <v>383</v>
      </c>
      <c r="J481" s="5" t="s">
        <v>32</v>
      </c>
      <c r="K481" s="3" t="str">
        <f t="shared" si="7"/>
        <v>Patricia Nielsen</v>
      </c>
    </row>
    <row r="482" spans="1:11" x14ac:dyDescent="0.35">
      <c r="A482" s="4">
        <v>481</v>
      </c>
      <c r="B482" s="3" t="s">
        <v>504</v>
      </c>
      <c r="C482" s="3" t="s">
        <v>17</v>
      </c>
      <c r="D482" s="3" t="s">
        <v>18</v>
      </c>
      <c r="E482" s="3">
        <v>81098</v>
      </c>
      <c r="F482" s="3">
        <v>49936</v>
      </c>
      <c r="G482" s="3" t="s">
        <v>13</v>
      </c>
      <c r="H482" s="3" t="s">
        <v>14</v>
      </c>
      <c r="I482" s="3">
        <v>658</v>
      </c>
      <c r="J482" s="5" t="s">
        <v>15</v>
      </c>
      <c r="K482" s="3" t="str">
        <f t="shared" si="7"/>
        <v>Mrs. Molly Jones MD</v>
      </c>
    </row>
    <row r="483" spans="1:11" x14ac:dyDescent="0.35">
      <c r="A483" s="4">
        <v>482</v>
      </c>
      <c r="B483" s="3" t="s">
        <v>505</v>
      </c>
      <c r="C483" s="3" t="s">
        <v>17</v>
      </c>
      <c r="D483" s="3" t="s">
        <v>12</v>
      </c>
      <c r="E483" s="3">
        <v>41518</v>
      </c>
      <c r="F483" s="3">
        <v>33372</v>
      </c>
      <c r="G483" s="3" t="s">
        <v>22</v>
      </c>
      <c r="H483" s="3" t="s">
        <v>14</v>
      </c>
      <c r="I483" s="3">
        <v>748</v>
      </c>
      <c r="J483" s="5" t="s">
        <v>15</v>
      </c>
      <c r="K483" s="3" t="str">
        <f t="shared" si="7"/>
        <v>Mrs. Molly Jones MD</v>
      </c>
    </row>
    <row r="484" spans="1:11" x14ac:dyDescent="0.35">
      <c r="A484" s="4">
        <v>483</v>
      </c>
      <c r="B484" s="3" t="s">
        <v>506</v>
      </c>
      <c r="C484" s="3" t="s">
        <v>11</v>
      </c>
      <c r="D484" s="3" t="s">
        <v>21</v>
      </c>
      <c r="E484" s="3">
        <v>29544</v>
      </c>
      <c r="F484" s="3">
        <v>31459</v>
      </c>
      <c r="G484" s="3" t="s">
        <v>22</v>
      </c>
      <c r="H484" s="3" t="s">
        <v>14</v>
      </c>
      <c r="I484" s="3">
        <v>845</v>
      </c>
      <c r="J484" s="5" t="s">
        <v>32</v>
      </c>
      <c r="K484" s="3" t="str">
        <f t="shared" si="7"/>
        <v>Mrs. Molly Jones MD</v>
      </c>
    </row>
    <row r="485" spans="1:11" x14ac:dyDescent="0.35">
      <c r="A485" s="4">
        <v>484</v>
      </c>
      <c r="B485" s="3" t="s">
        <v>507</v>
      </c>
      <c r="C485" s="3" t="s">
        <v>17</v>
      </c>
      <c r="D485" s="3" t="s">
        <v>18</v>
      </c>
      <c r="E485" s="3">
        <v>69334</v>
      </c>
      <c r="F485" s="3">
        <v>11616</v>
      </c>
      <c r="G485" s="3" t="s">
        <v>22</v>
      </c>
      <c r="H485" s="3" t="s">
        <v>19</v>
      </c>
      <c r="I485" s="3">
        <v>342</v>
      </c>
      <c r="J485" s="5" t="s">
        <v>15</v>
      </c>
      <c r="K485" s="3" t="str">
        <f t="shared" si="7"/>
        <v>Dr. Luis Adams</v>
      </c>
    </row>
    <row r="486" spans="1:11" x14ac:dyDescent="0.35">
      <c r="A486" s="4">
        <v>485</v>
      </c>
      <c r="B486" s="3" t="s">
        <v>508</v>
      </c>
      <c r="C486" s="3" t="s">
        <v>17</v>
      </c>
      <c r="D486" s="3" t="s">
        <v>18</v>
      </c>
      <c r="E486" s="3">
        <v>102570</v>
      </c>
      <c r="F486" s="3">
        <v>478667</v>
      </c>
      <c r="G486" s="3" t="s">
        <v>13</v>
      </c>
      <c r="H486" s="3" t="s">
        <v>23</v>
      </c>
      <c r="I486" s="3">
        <v>420</v>
      </c>
      <c r="J486" s="5" t="s">
        <v>24</v>
      </c>
      <c r="K486" s="3" t="str">
        <f t="shared" si="7"/>
        <v>Patricia Nielsen</v>
      </c>
    </row>
    <row r="487" spans="1:11" x14ac:dyDescent="0.35">
      <c r="A487" s="4">
        <v>486</v>
      </c>
      <c r="B487" s="3" t="s">
        <v>509</v>
      </c>
      <c r="C487" s="3" t="s">
        <v>17</v>
      </c>
      <c r="D487" s="3" t="s">
        <v>12</v>
      </c>
      <c r="E487" s="3">
        <v>63379</v>
      </c>
      <c r="F487" s="3">
        <v>285779</v>
      </c>
      <c r="G487" s="3" t="s">
        <v>22</v>
      </c>
      <c r="H487" s="3" t="s">
        <v>14</v>
      </c>
      <c r="I487" s="3">
        <v>740</v>
      </c>
      <c r="J487" s="5" t="s">
        <v>15</v>
      </c>
      <c r="K487" s="3" t="str">
        <f t="shared" si="7"/>
        <v>Mrs. Molly Jones MD</v>
      </c>
    </row>
    <row r="488" spans="1:11" x14ac:dyDescent="0.35">
      <c r="A488" s="4">
        <v>487</v>
      </c>
      <c r="B488" s="3" t="s">
        <v>510</v>
      </c>
      <c r="C488" s="3" t="s">
        <v>17</v>
      </c>
      <c r="D488" s="3" t="s">
        <v>12</v>
      </c>
      <c r="E488" s="3">
        <v>102578</v>
      </c>
      <c r="F488" s="3">
        <v>364442</v>
      </c>
      <c r="G488" s="3" t="s">
        <v>22</v>
      </c>
      <c r="H488" s="3" t="s">
        <v>26</v>
      </c>
      <c r="I488" s="3">
        <v>710</v>
      </c>
      <c r="J488" s="5" t="s">
        <v>15</v>
      </c>
      <c r="K488" s="3" t="str">
        <f t="shared" si="7"/>
        <v>Audrey Russell</v>
      </c>
    </row>
    <row r="489" spans="1:11" x14ac:dyDescent="0.35">
      <c r="A489" s="4">
        <v>488</v>
      </c>
      <c r="B489" s="3" t="s">
        <v>511</v>
      </c>
      <c r="C489" s="3" t="s">
        <v>11</v>
      </c>
      <c r="D489" s="3" t="s">
        <v>18</v>
      </c>
      <c r="E489" s="3">
        <v>68522</v>
      </c>
      <c r="F489" s="3">
        <v>362800</v>
      </c>
      <c r="G489" s="3" t="s">
        <v>22</v>
      </c>
      <c r="H489" s="3" t="s">
        <v>23</v>
      </c>
      <c r="I489" s="3">
        <v>366</v>
      </c>
      <c r="J489" s="5" t="s">
        <v>15</v>
      </c>
      <c r="K489" s="3" t="str">
        <f t="shared" si="7"/>
        <v>Patricia Nielsen</v>
      </c>
    </row>
    <row r="490" spans="1:11" x14ac:dyDescent="0.35">
      <c r="A490" s="4">
        <v>489</v>
      </c>
      <c r="B490" s="3" t="s">
        <v>512</v>
      </c>
      <c r="C490" s="3" t="s">
        <v>11</v>
      </c>
      <c r="D490" s="3" t="s">
        <v>12</v>
      </c>
      <c r="E490" s="3">
        <v>115761</v>
      </c>
      <c r="F490" s="3">
        <v>436203</v>
      </c>
      <c r="G490" s="3" t="s">
        <v>22</v>
      </c>
      <c r="H490" s="3" t="s">
        <v>26</v>
      </c>
      <c r="I490" s="3">
        <v>893</v>
      </c>
      <c r="J490" s="5" t="s">
        <v>24</v>
      </c>
      <c r="K490" s="3" t="str">
        <f t="shared" si="7"/>
        <v>Audrey Russell</v>
      </c>
    </row>
    <row r="491" spans="1:11" x14ac:dyDescent="0.35">
      <c r="A491" s="4">
        <v>490</v>
      </c>
      <c r="B491" s="3" t="s">
        <v>513</v>
      </c>
      <c r="C491" s="3" t="s">
        <v>17</v>
      </c>
      <c r="D491" s="3" t="s">
        <v>12</v>
      </c>
      <c r="E491" s="3">
        <v>89149</v>
      </c>
      <c r="F491" s="3">
        <v>61251</v>
      </c>
      <c r="G491" s="3" t="s">
        <v>13</v>
      </c>
      <c r="H491" s="3" t="s">
        <v>14</v>
      </c>
      <c r="I491" s="3">
        <v>690</v>
      </c>
      <c r="J491" s="5" t="s">
        <v>32</v>
      </c>
      <c r="K491" s="3" t="str">
        <f t="shared" si="7"/>
        <v>Mrs. Molly Jones MD</v>
      </c>
    </row>
    <row r="492" spans="1:11" x14ac:dyDescent="0.35">
      <c r="A492" s="4">
        <v>491</v>
      </c>
      <c r="B492" s="3" t="s">
        <v>514</v>
      </c>
      <c r="C492" s="3" t="s">
        <v>17</v>
      </c>
      <c r="D492" s="3" t="s">
        <v>18</v>
      </c>
      <c r="E492" s="3">
        <v>34421</v>
      </c>
      <c r="F492" s="3">
        <v>499413</v>
      </c>
      <c r="G492" s="3" t="s">
        <v>22</v>
      </c>
      <c r="H492" s="3" t="s">
        <v>19</v>
      </c>
      <c r="I492" s="3">
        <v>814</v>
      </c>
      <c r="J492" s="5" t="s">
        <v>15</v>
      </c>
      <c r="K492" s="3" t="str">
        <f t="shared" si="7"/>
        <v>Dr. Luis Adams</v>
      </c>
    </row>
    <row r="493" spans="1:11" x14ac:dyDescent="0.35">
      <c r="A493" s="4">
        <v>492</v>
      </c>
      <c r="B493" s="3" t="s">
        <v>515</v>
      </c>
      <c r="C493" s="3" t="s">
        <v>11</v>
      </c>
      <c r="D493" s="3" t="s">
        <v>12</v>
      </c>
      <c r="E493" s="3">
        <v>87225</v>
      </c>
      <c r="F493" s="3">
        <v>297447</v>
      </c>
      <c r="G493" s="3" t="s">
        <v>22</v>
      </c>
      <c r="H493" s="3" t="s">
        <v>19</v>
      </c>
      <c r="I493" s="3">
        <v>519</v>
      </c>
      <c r="J493" s="5" t="s">
        <v>15</v>
      </c>
      <c r="K493" s="3" t="str">
        <f t="shared" si="7"/>
        <v>Dr. Luis Adams</v>
      </c>
    </row>
    <row r="494" spans="1:11" x14ac:dyDescent="0.35">
      <c r="A494" s="4">
        <v>493</v>
      </c>
      <c r="B494" s="3" t="s">
        <v>516</v>
      </c>
      <c r="C494" s="3" t="s">
        <v>17</v>
      </c>
      <c r="D494" s="3" t="s">
        <v>21</v>
      </c>
      <c r="E494" s="3">
        <v>85297</v>
      </c>
      <c r="F494" s="3">
        <v>20454</v>
      </c>
      <c r="G494" s="3" t="s">
        <v>22</v>
      </c>
      <c r="H494" s="3" t="s">
        <v>14</v>
      </c>
      <c r="I494" s="3">
        <v>789</v>
      </c>
      <c r="J494" s="5" t="s">
        <v>24</v>
      </c>
      <c r="K494" s="3" t="str">
        <f t="shared" si="7"/>
        <v>Mrs. Molly Jones MD</v>
      </c>
    </row>
    <row r="495" spans="1:11" x14ac:dyDescent="0.35">
      <c r="A495" s="4">
        <v>494</v>
      </c>
      <c r="B495" s="3" t="s">
        <v>517</v>
      </c>
      <c r="C495" s="3" t="s">
        <v>17</v>
      </c>
      <c r="D495" s="3" t="s">
        <v>21</v>
      </c>
      <c r="E495" s="3">
        <v>81164</v>
      </c>
      <c r="F495" s="3">
        <v>457649</v>
      </c>
      <c r="G495" s="3" t="s">
        <v>22</v>
      </c>
      <c r="H495" s="3" t="s">
        <v>26</v>
      </c>
      <c r="I495" s="3">
        <v>358</v>
      </c>
      <c r="J495" s="5" t="s">
        <v>24</v>
      </c>
      <c r="K495" s="3" t="str">
        <f t="shared" si="7"/>
        <v>Audrey Russell</v>
      </c>
    </row>
    <row r="496" spans="1:11" x14ac:dyDescent="0.35">
      <c r="A496" s="4">
        <v>495</v>
      </c>
      <c r="B496" s="3" t="s">
        <v>518</v>
      </c>
      <c r="C496" s="3" t="s">
        <v>11</v>
      </c>
      <c r="D496" s="3" t="s">
        <v>12</v>
      </c>
      <c r="E496" s="3">
        <v>62727</v>
      </c>
      <c r="F496" s="3">
        <v>8500</v>
      </c>
      <c r="G496" s="3" t="s">
        <v>22</v>
      </c>
      <c r="H496" s="3" t="s">
        <v>26</v>
      </c>
      <c r="I496" s="3">
        <v>800</v>
      </c>
      <c r="J496" s="5" t="s">
        <v>15</v>
      </c>
      <c r="K496" s="3" t="str">
        <f t="shared" si="7"/>
        <v>Audrey Russell</v>
      </c>
    </row>
    <row r="497" spans="1:11" x14ac:dyDescent="0.35">
      <c r="A497" s="4">
        <v>496</v>
      </c>
      <c r="B497" s="3" t="s">
        <v>519</v>
      </c>
      <c r="C497" s="3" t="s">
        <v>17</v>
      </c>
      <c r="D497" s="3" t="s">
        <v>18</v>
      </c>
      <c r="E497" s="3">
        <v>41137</v>
      </c>
      <c r="F497" s="3">
        <v>251973</v>
      </c>
      <c r="G497" s="3" t="s">
        <v>13</v>
      </c>
      <c r="H497" s="3" t="s">
        <v>19</v>
      </c>
      <c r="I497" s="3">
        <v>635</v>
      </c>
      <c r="J497" s="5" t="s">
        <v>32</v>
      </c>
      <c r="K497" s="3" t="str">
        <f t="shared" si="7"/>
        <v>Dr. Luis Adams</v>
      </c>
    </row>
    <row r="498" spans="1:11" x14ac:dyDescent="0.35">
      <c r="A498" s="4">
        <v>497</v>
      </c>
      <c r="B498" s="3" t="s">
        <v>520</v>
      </c>
      <c r="C498" s="3" t="s">
        <v>11</v>
      </c>
      <c r="D498" s="3" t="s">
        <v>18</v>
      </c>
      <c r="E498" s="3">
        <v>52747</v>
      </c>
      <c r="F498" s="3">
        <v>373830</v>
      </c>
      <c r="G498" s="3" t="s">
        <v>13</v>
      </c>
      <c r="H498" s="3" t="s">
        <v>23</v>
      </c>
      <c r="I498" s="3">
        <v>879</v>
      </c>
      <c r="J498" s="5" t="s">
        <v>32</v>
      </c>
      <c r="K498" s="3" t="str">
        <f t="shared" si="7"/>
        <v>Patricia Nielsen</v>
      </c>
    </row>
    <row r="499" spans="1:11" x14ac:dyDescent="0.35">
      <c r="A499" s="4">
        <v>498</v>
      </c>
      <c r="B499" s="3" t="s">
        <v>521</v>
      </c>
      <c r="C499" s="3" t="s">
        <v>11</v>
      </c>
      <c r="D499" s="3" t="s">
        <v>18</v>
      </c>
      <c r="E499" s="3">
        <v>110180</v>
      </c>
      <c r="F499" s="3">
        <v>279618</v>
      </c>
      <c r="G499" s="3" t="s">
        <v>13</v>
      </c>
      <c r="H499" s="3" t="s">
        <v>14</v>
      </c>
      <c r="I499" s="3">
        <v>695</v>
      </c>
      <c r="J499" s="5" t="s">
        <v>15</v>
      </c>
      <c r="K499" s="3" t="str">
        <f t="shared" si="7"/>
        <v>Mrs. Molly Jones MD</v>
      </c>
    </row>
    <row r="500" spans="1:11" x14ac:dyDescent="0.35">
      <c r="A500" s="4">
        <v>499</v>
      </c>
      <c r="B500" s="3" t="s">
        <v>522</v>
      </c>
      <c r="C500" s="3" t="s">
        <v>11</v>
      </c>
      <c r="D500" s="3" t="s">
        <v>18</v>
      </c>
      <c r="E500" s="3">
        <v>77454</v>
      </c>
      <c r="F500" s="3">
        <v>153938</v>
      </c>
      <c r="G500" s="3" t="s">
        <v>22</v>
      </c>
      <c r="H500" s="3" t="s">
        <v>14</v>
      </c>
      <c r="I500" s="3">
        <v>491</v>
      </c>
      <c r="J500" s="5" t="s">
        <v>15</v>
      </c>
      <c r="K500" s="3" t="str">
        <f t="shared" si="7"/>
        <v>Mrs. Molly Jones MD</v>
      </c>
    </row>
    <row r="501" spans="1:11" x14ac:dyDescent="0.35">
      <c r="A501" s="9">
        <v>500</v>
      </c>
      <c r="B501" s="10" t="s">
        <v>523</v>
      </c>
      <c r="C501" s="10" t="s">
        <v>17</v>
      </c>
      <c r="D501" s="10" t="s">
        <v>12</v>
      </c>
      <c r="E501" s="10">
        <v>77587</v>
      </c>
      <c r="F501" s="10">
        <v>330953</v>
      </c>
      <c r="G501" s="10" t="s">
        <v>13</v>
      </c>
      <c r="H501" s="10" t="s">
        <v>14</v>
      </c>
      <c r="I501" s="10">
        <v>601</v>
      </c>
      <c r="J501" s="11" t="s">
        <v>24</v>
      </c>
      <c r="K501" s="10" t="str">
        <f t="shared" si="7"/>
        <v>Mrs. Molly Jones MD</v>
      </c>
    </row>
  </sheetData>
  <conditionalFormatting sqref="K1:K1048576">
    <cfRule type="containsText" dxfId="68" priority="1" operator="containsText" text="Audrey Russell">
      <formula>NOT(ISERROR(SEARCH("Audrey Russell",K1)))</formula>
    </cfRule>
    <cfRule type="containsText" dxfId="67" priority="2" operator="containsText" text="Patricia Nielsen">
      <formula>NOT(ISERROR(SEARCH("Patricia Nielsen",K1)))</formula>
    </cfRule>
    <cfRule type="containsText" dxfId="66" priority="3" operator="containsText" text="Patricia Nielsen">
      <formula>NOT(ISERROR(SEARCH("Patricia Nielsen",K1)))</formula>
    </cfRule>
    <cfRule type="containsText" dxfId="65" priority="4" operator="containsText" text="Audrey Russell">
      <formula>NOT(ISERROR(SEARCH("Audrey Russell",K1)))</formula>
    </cfRule>
    <cfRule type="containsText" dxfId="64" priority="5" operator="containsText" text="Dr. Luis Adams">
      <formula>NOT(ISERROR(SEARCH("Dr. Luis Adams",K1)))</formula>
    </cfRule>
    <cfRule type="containsText" dxfId="63" priority="6" operator="containsText" text="Mrs. Molly Jones MD">
      <formula>NOT(ISERROR(SEARCH("Mrs. Molly Jones MD",K1)))</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E91E8-E06A-4AFF-846A-25A03FD27894}">
  <dimension ref="A1:K501"/>
  <sheetViews>
    <sheetView topLeftCell="C1" workbookViewId="0">
      <selection activeCell="H21" sqref="H21"/>
    </sheetView>
  </sheetViews>
  <sheetFormatPr defaultColWidth="14" defaultRowHeight="14.5" x14ac:dyDescent="0.35"/>
  <cols>
    <col min="2" max="2" width="19.26953125" customWidth="1"/>
    <col min="10" max="10" width="19.26953125" customWidth="1"/>
    <col min="11" max="11" width="25.6328125" customWidth="1"/>
  </cols>
  <sheetData>
    <row r="1" spans="1:11" x14ac:dyDescent="0.35">
      <c r="A1" s="6" t="s">
        <v>0</v>
      </c>
      <c r="B1" s="7" t="s">
        <v>1</v>
      </c>
      <c r="C1" s="7" t="s">
        <v>2</v>
      </c>
      <c r="D1" s="7" t="s">
        <v>3</v>
      </c>
      <c r="E1" s="7" t="s">
        <v>4</v>
      </c>
      <c r="F1" s="7" t="s">
        <v>5</v>
      </c>
      <c r="G1" s="7" t="s">
        <v>6</v>
      </c>
      <c r="H1" s="7" t="s">
        <v>7</v>
      </c>
      <c r="I1" s="7" t="s">
        <v>8</v>
      </c>
      <c r="J1" s="8" t="s">
        <v>9</v>
      </c>
      <c r="K1" s="7" t="s">
        <v>539</v>
      </c>
    </row>
    <row r="2" spans="1:11" x14ac:dyDescent="0.35">
      <c r="A2" s="4">
        <v>1</v>
      </c>
      <c r="B2" s="3" t="s">
        <v>10</v>
      </c>
      <c r="C2" s="3" t="s">
        <v>11</v>
      </c>
      <c r="D2" s="3" t="s">
        <v>12</v>
      </c>
      <c r="E2" s="3">
        <v>88372</v>
      </c>
      <c r="F2" s="3">
        <v>330961</v>
      </c>
      <c r="G2" s="3" t="s">
        <v>13</v>
      </c>
      <c r="H2" s="3" t="s">
        <v>14</v>
      </c>
      <c r="I2" s="3">
        <v>744</v>
      </c>
      <c r="J2" s="5" t="s">
        <v>15</v>
      </c>
      <c r="K2" s="12" t="str">
        <f t="shared" ref="K2:K65" si="0">IF(AND(E2&gt;50000,G2="Approved"),"Eligible","Review")</f>
        <v>Eligible</v>
      </c>
    </row>
    <row r="3" spans="1:11" x14ac:dyDescent="0.35">
      <c r="A3" s="4">
        <v>2</v>
      </c>
      <c r="B3" s="3" t="s">
        <v>16</v>
      </c>
      <c r="C3" s="3" t="s">
        <v>17</v>
      </c>
      <c r="D3" s="3" t="s">
        <v>18</v>
      </c>
      <c r="E3" s="3">
        <v>119257</v>
      </c>
      <c r="F3" s="3">
        <v>262727</v>
      </c>
      <c r="G3" s="3" t="s">
        <v>13</v>
      </c>
      <c r="H3" s="3" t="s">
        <v>19</v>
      </c>
      <c r="I3" s="3">
        <v>642</v>
      </c>
      <c r="J3" s="5" t="s">
        <v>15</v>
      </c>
      <c r="K3" s="3" t="str">
        <f t="shared" si="0"/>
        <v>Eligible</v>
      </c>
    </row>
    <row r="4" spans="1:11" x14ac:dyDescent="0.35">
      <c r="A4" s="4">
        <v>3</v>
      </c>
      <c r="B4" s="3" t="s">
        <v>20</v>
      </c>
      <c r="C4" s="3" t="s">
        <v>17</v>
      </c>
      <c r="D4" s="3" t="s">
        <v>21</v>
      </c>
      <c r="E4" s="3">
        <v>81217</v>
      </c>
      <c r="F4" s="3">
        <v>472394</v>
      </c>
      <c r="G4" s="3" t="s">
        <v>22</v>
      </c>
      <c r="H4" s="3" t="s">
        <v>23</v>
      </c>
      <c r="I4" s="3">
        <v>482</v>
      </c>
      <c r="J4" s="5" t="s">
        <v>24</v>
      </c>
      <c r="K4" s="3" t="str">
        <f t="shared" si="0"/>
        <v>Review</v>
      </c>
    </row>
    <row r="5" spans="1:11" x14ac:dyDescent="0.35">
      <c r="A5" s="4">
        <v>4</v>
      </c>
      <c r="B5" s="3" t="s">
        <v>25</v>
      </c>
      <c r="C5" s="3" t="s">
        <v>11</v>
      </c>
      <c r="D5" s="3" t="s">
        <v>12</v>
      </c>
      <c r="E5" s="3">
        <v>117486</v>
      </c>
      <c r="F5" s="3">
        <v>264501</v>
      </c>
      <c r="G5" s="3" t="s">
        <v>13</v>
      </c>
      <c r="H5" s="3" t="s">
        <v>26</v>
      </c>
      <c r="I5" s="3">
        <v>306</v>
      </c>
      <c r="J5" s="5" t="s">
        <v>15</v>
      </c>
      <c r="K5" s="3" t="str">
        <f t="shared" si="0"/>
        <v>Eligible</v>
      </c>
    </row>
    <row r="6" spans="1:11" x14ac:dyDescent="0.35">
      <c r="A6" s="4">
        <v>5</v>
      </c>
      <c r="B6" s="3" t="s">
        <v>27</v>
      </c>
      <c r="C6" s="3" t="s">
        <v>11</v>
      </c>
      <c r="D6" s="3" t="s">
        <v>12</v>
      </c>
      <c r="E6" s="3">
        <v>97590</v>
      </c>
      <c r="F6" s="3">
        <v>70297</v>
      </c>
      <c r="G6" s="3" t="s">
        <v>22</v>
      </c>
      <c r="H6" s="3" t="s">
        <v>14</v>
      </c>
      <c r="I6" s="3">
        <v>515</v>
      </c>
      <c r="J6" s="5" t="s">
        <v>15</v>
      </c>
      <c r="K6" s="3" t="str">
        <f t="shared" si="0"/>
        <v>Review</v>
      </c>
    </row>
    <row r="7" spans="1:11" x14ac:dyDescent="0.35">
      <c r="A7" s="4">
        <v>6</v>
      </c>
      <c r="B7" s="3" t="s">
        <v>28</v>
      </c>
      <c r="C7" s="3" t="s">
        <v>11</v>
      </c>
      <c r="D7" s="3" t="s">
        <v>18</v>
      </c>
      <c r="E7" s="3">
        <v>61361</v>
      </c>
      <c r="F7" s="3">
        <v>445854</v>
      </c>
      <c r="G7" s="3" t="s">
        <v>22</v>
      </c>
      <c r="H7" s="3" t="s">
        <v>19</v>
      </c>
      <c r="I7" s="3">
        <v>602</v>
      </c>
      <c r="J7" s="5" t="s">
        <v>15</v>
      </c>
      <c r="K7" s="3" t="str">
        <f t="shared" si="0"/>
        <v>Review</v>
      </c>
    </row>
    <row r="8" spans="1:11" x14ac:dyDescent="0.35">
      <c r="A8" s="4">
        <v>7</v>
      </c>
      <c r="B8" s="3" t="s">
        <v>29</v>
      </c>
      <c r="C8" s="3" t="s">
        <v>11</v>
      </c>
      <c r="D8" s="3" t="s">
        <v>18</v>
      </c>
      <c r="E8" s="3">
        <v>96742</v>
      </c>
      <c r="F8" s="3">
        <v>468230</v>
      </c>
      <c r="G8" s="3" t="s">
        <v>22</v>
      </c>
      <c r="H8" s="3" t="s">
        <v>26</v>
      </c>
      <c r="I8" s="3">
        <v>458</v>
      </c>
      <c r="J8" s="5" t="s">
        <v>15</v>
      </c>
      <c r="K8" s="3" t="str">
        <f t="shared" si="0"/>
        <v>Review</v>
      </c>
    </row>
    <row r="9" spans="1:11" x14ac:dyDescent="0.35">
      <c r="A9" s="4">
        <v>8</v>
      </c>
      <c r="B9" s="3" t="s">
        <v>30</v>
      </c>
      <c r="C9" s="3" t="s">
        <v>17</v>
      </c>
      <c r="D9" s="3" t="s">
        <v>21</v>
      </c>
      <c r="E9" s="3">
        <v>63391</v>
      </c>
      <c r="F9" s="3">
        <v>178896</v>
      </c>
      <c r="G9" s="3" t="s">
        <v>13</v>
      </c>
      <c r="H9" s="3" t="s">
        <v>19</v>
      </c>
      <c r="I9" s="3">
        <v>444</v>
      </c>
      <c r="J9" s="5" t="s">
        <v>15</v>
      </c>
      <c r="K9" s="3" t="str">
        <f t="shared" si="0"/>
        <v>Eligible</v>
      </c>
    </row>
    <row r="10" spans="1:11" x14ac:dyDescent="0.35">
      <c r="A10" s="4">
        <v>9</v>
      </c>
      <c r="B10" s="3" t="s">
        <v>31</v>
      </c>
      <c r="C10" s="3" t="s">
        <v>17</v>
      </c>
      <c r="D10" s="3" t="s">
        <v>12</v>
      </c>
      <c r="E10" s="3">
        <v>47429</v>
      </c>
      <c r="F10" s="3">
        <v>86835</v>
      </c>
      <c r="G10" s="3" t="s">
        <v>13</v>
      </c>
      <c r="H10" s="3" t="s">
        <v>23</v>
      </c>
      <c r="I10" s="3">
        <v>859</v>
      </c>
      <c r="J10" s="5" t="s">
        <v>32</v>
      </c>
      <c r="K10" s="3" t="str">
        <f t="shared" si="0"/>
        <v>Review</v>
      </c>
    </row>
    <row r="11" spans="1:11" x14ac:dyDescent="0.35">
      <c r="A11" s="4">
        <v>10</v>
      </c>
      <c r="B11" s="3" t="s">
        <v>33</v>
      </c>
      <c r="C11" s="3" t="s">
        <v>11</v>
      </c>
      <c r="D11" s="3" t="s">
        <v>21</v>
      </c>
      <c r="E11" s="3">
        <v>44420</v>
      </c>
      <c r="F11" s="3">
        <v>167749</v>
      </c>
      <c r="G11" s="3" t="s">
        <v>22</v>
      </c>
      <c r="H11" s="3" t="s">
        <v>23</v>
      </c>
      <c r="I11" s="3">
        <v>450</v>
      </c>
      <c r="J11" s="5" t="s">
        <v>32</v>
      </c>
      <c r="K11" s="3" t="str">
        <f t="shared" si="0"/>
        <v>Review</v>
      </c>
    </row>
    <row r="12" spans="1:11" x14ac:dyDescent="0.35">
      <c r="A12" s="4">
        <v>11</v>
      </c>
      <c r="B12" s="3" t="s">
        <v>34</v>
      </c>
      <c r="C12" s="3" t="s">
        <v>11</v>
      </c>
      <c r="D12" s="3" t="s">
        <v>18</v>
      </c>
      <c r="E12" s="3">
        <v>66843</v>
      </c>
      <c r="F12" s="3">
        <v>204617</v>
      </c>
      <c r="G12" s="3" t="s">
        <v>13</v>
      </c>
      <c r="H12" s="3" t="s">
        <v>14</v>
      </c>
      <c r="I12" s="3">
        <v>552</v>
      </c>
      <c r="J12" s="5" t="s">
        <v>24</v>
      </c>
      <c r="K12" s="3" t="str">
        <f t="shared" si="0"/>
        <v>Eligible</v>
      </c>
    </row>
    <row r="13" spans="1:11" x14ac:dyDescent="0.35">
      <c r="A13" s="4">
        <v>12</v>
      </c>
      <c r="B13" s="3" t="s">
        <v>35</v>
      </c>
      <c r="C13" s="3" t="s">
        <v>11</v>
      </c>
      <c r="D13" s="3" t="s">
        <v>18</v>
      </c>
      <c r="E13" s="3">
        <v>93528</v>
      </c>
      <c r="F13" s="3">
        <v>317139</v>
      </c>
      <c r="G13" s="3" t="s">
        <v>13</v>
      </c>
      <c r="H13" s="3" t="s">
        <v>26</v>
      </c>
      <c r="I13" s="3">
        <v>818</v>
      </c>
      <c r="J13" s="5" t="s">
        <v>32</v>
      </c>
      <c r="K13" s="3" t="str">
        <f t="shared" si="0"/>
        <v>Eligible</v>
      </c>
    </row>
    <row r="14" spans="1:11" x14ac:dyDescent="0.35">
      <c r="A14" s="4">
        <v>13</v>
      </c>
      <c r="B14" s="3" t="s">
        <v>36</v>
      </c>
      <c r="C14" s="3" t="s">
        <v>17</v>
      </c>
      <c r="D14" s="3" t="s">
        <v>18</v>
      </c>
      <c r="E14" s="3">
        <v>42867</v>
      </c>
      <c r="F14" s="3">
        <v>197688</v>
      </c>
      <c r="G14" s="3" t="s">
        <v>22</v>
      </c>
      <c r="H14" s="3" t="s">
        <v>14</v>
      </c>
      <c r="I14" s="3">
        <v>768</v>
      </c>
      <c r="J14" s="5" t="s">
        <v>15</v>
      </c>
      <c r="K14" s="3" t="str">
        <f t="shared" si="0"/>
        <v>Review</v>
      </c>
    </row>
    <row r="15" spans="1:11" x14ac:dyDescent="0.35">
      <c r="A15" s="4">
        <v>14</v>
      </c>
      <c r="B15" s="3" t="s">
        <v>37</v>
      </c>
      <c r="C15" s="3" t="s">
        <v>11</v>
      </c>
      <c r="D15" s="3" t="s">
        <v>12</v>
      </c>
      <c r="E15" s="3">
        <v>49709</v>
      </c>
      <c r="F15" s="3">
        <v>198807</v>
      </c>
      <c r="G15" s="3" t="s">
        <v>22</v>
      </c>
      <c r="H15" s="3" t="s">
        <v>14</v>
      </c>
      <c r="I15" s="3">
        <v>651</v>
      </c>
      <c r="J15" s="5" t="s">
        <v>15</v>
      </c>
      <c r="K15" s="3" t="str">
        <f t="shared" si="0"/>
        <v>Review</v>
      </c>
    </row>
    <row r="16" spans="1:11" x14ac:dyDescent="0.35">
      <c r="A16" s="4">
        <v>15</v>
      </c>
      <c r="B16" s="3" t="s">
        <v>38</v>
      </c>
      <c r="C16" s="3" t="s">
        <v>11</v>
      </c>
      <c r="D16" s="3" t="s">
        <v>12</v>
      </c>
      <c r="E16" s="3">
        <v>106712</v>
      </c>
      <c r="F16" s="3">
        <v>43457</v>
      </c>
      <c r="G16" s="3" t="s">
        <v>22</v>
      </c>
      <c r="H16" s="3" t="s">
        <v>19</v>
      </c>
      <c r="I16" s="3">
        <v>640</v>
      </c>
      <c r="J16" s="5" t="s">
        <v>24</v>
      </c>
      <c r="K16" s="3" t="str">
        <f t="shared" si="0"/>
        <v>Review</v>
      </c>
    </row>
    <row r="17" spans="1:11" x14ac:dyDescent="0.35">
      <c r="A17" s="4">
        <v>16</v>
      </c>
      <c r="B17" s="3" t="s">
        <v>39</v>
      </c>
      <c r="C17" s="3" t="s">
        <v>17</v>
      </c>
      <c r="D17" s="3" t="s">
        <v>12</v>
      </c>
      <c r="E17" s="3">
        <v>76673</v>
      </c>
      <c r="F17" s="3">
        <v>303281</v>
      </c>
      <c r="G17" s="3" t="s">
        <v>13</v>
      </c>
      <c r="H17" s="3" t="s">
        <v>14</v>
      </c>
      <c r="I17" s="3">
        <v>473</v>
      </c>
      <c r="J17" s="5" t="s">
        <v>24</v>
      </c>
      <c r="K17" s="3" t="str">
        <f t="shared" si="0"/>
        <v>Eligible</v>
      </c>
    </row>
    <row r="18" spans="1:11" x14ac:dyDescent="0.35">
      <c r="A18" s="4">
        <v>17</v>
      </c>
      <c r="B18" s="3" t="s">
        <v>40</v>
      </c>
      <c r="C18" s="3" t="s">
        <v>11</v>
      </c>
      <c r="D18" s="3" t="s">
        <v>12</v>
      </c>
      <c r="E18" s="3">
        <v>110192</v>
      </c>
      <c r="F18" s="3">
        <v>471520</v>
      </c>
      <c r="G18" s="3" t="s">
        <v>22</v>
      </c>
      <c r="H18" s="3" t="s">
        <v>23</v>
      </c>
      <c r="I18" s="3">
        <v>709</v>
      </c>
      <c r="J18" s="5" t="s">
        <v>32</v>
      </c>
      <c r="K18" s="3" t="str">
        <f t="shared" si="0"/>
        <v>Review</v>
      </c>
    </row>
    <row r="19" spans="1:11" x14ac:dyDescent="0.35">
      <c r="A19" s="4">
        <v>18</v>
      </c>
      <c r="B19" s="3" t="s">
        <v>41</v>
      </c>
      <c r="C19" s="3" t="s">
        <v>11</v>
      </c>
      <c r="D19" s="3" t="s">
        <v>21</v>
      </c>
      <c r="E19" s="3">
        <v>45357</v>
      </c>
      <c r="F19" s="3">
        <v>274600</v>
      </c>
      <c r="G19" s="3" t="s">
        <v>22</v>
      </c>
      <c r="H19" s="3" t="s">
        <v>26</v>
      </c>
      <c r="I19" s="3">
        <v>740</v>
      </c>
      <c r="J19" s="5" t="s">
        <v>24</v>
      </c>
      <c r="K19" s="3" t="str">
        <f t="shared" si="0"/>
        <v>Review</v>
      </c>
    </row>
    <row r="20" spans="1:11" x14ac:dyDescent="0.35">
      <c r="A20" s="4">
        <v>19</v>
      </c>
      <c r="B20" s="3" t="s">
        <v>42</v>
      </c>
      <c r="C20" s="3" t="s">
        <v>17</v>
      </c>
      <c r="D20" s="3" t="s">
        <v>18</v>
      </c>
      <c r="E20" s="3">
        <v>47249</v>
      </c>
      <c r="F20" s="3">
        <v>439148</v>
      </c>
      <c r="G20" s="3" t="s">
        <v>13</v>
      </c>
      <c r="H20" s="3" t="s">
        <v>26</v>
      </c>
      <c r="I20" s="3">
        <v>463</v>
      </c>
      <c r="J20" s="5" t="s">
        <v>24</v>
      </c>
      <c r="K20" s="3" t="str">
        <f t="shared" si="0"/>
        <v>Review</v>
      </c>
    </row>
    <row r="21" spans="1:11" x14ac:dyDescent="0.35">
      <c r="A21" s="4">
        <v>20</v>
      </c>
      <c r="B21" s="3" t="s">
        <v>43</v>
      </c>
      <c r="C21" s="3" t="s">
        <v>17</v>
      </c>
      <c r="D21" s="3" t="s">
        <v>18</v>
      </c>
      <c r="E21" s="3">
        <v>21385</v>
      </c>
      <c r="F21" s="3">
        <v>131933</v>
      </c>
      <c r="G21" s="3" t="s">
        <v>22</v>
      </c>
      <c r="H21" s="3" t="s">
        <v>19</v>
      </c>
      <c r="I21" s="3">
        <v>438</v>
      </c>
      <c r="J21" s="5" t="s">
        <v>24</v>
      </c>
      <c r="K21" s="3" t="str">
        <f t="shared" si="0"/>
        <v>Review</v>
      </c>
    </row>
    <row r="22" spans="1:11" x14ac:dyDescent="0.35">
      <c r="A22" s="4">
        <v>21</v>
      </c>
      <c r="B22" s="3" t="s">
        <v>44</v>
      </c>
      <c r="C22" s="3" t="s">
        <v>17</v>
      </c>
      <c r="D22" s="3" t="s">
        <v>12</v>
      </c>
      <c r="E22" s="3">
        <v>101753</v>
      </c>
      <c r="F22" s="3">
        <v>239191</v>
      </c>
      <c r="G22" s="3" t="s">
        <v>22</v>
      </c>
      <c r="H22" s="3" t="s">
        <v>26</v>
      </c>
      <c r="I22" s="3">
        <v>802</v>
      </c>
      <c r="J22" s="5" t="s">
        <v>15</v>
      </c>
      <c r="K22" s="3" t="str">
        <f t="shared" si="0"/>
        <v>Review</v>
      </c>
    </row>
    <row r="23" spans="1:11" x14ac:dyDescent="0.35">
      <c r="A23" s="4">
        <v>22</v>
      </c>
      <c r="B23" s="3" t="s">
        <v>45</v>
      </c>
      <c r="C23" s="3" t="s">
        <v>11</v>
      </c>
      <c r="D23" s="3" t="s">
        <v>21</v>
      </c>
      <c r="E23" s="3">
        <v>105371</v>
      </c>
      <c r="F23" s="3">
        <v>162207</v>
      </c>
      <c r="G23" s="3" t="s">
        <v>13</v>
      </c>
      <c r="H23" s="3" t="s">
        <v>26</v>
      </c>
      <c r="I23" s="3">
        <v>543</v>
      </c>
      <c r="J23" s="5" t="s">
        <v>32</v>
      </c>
      <c r="K23" s="3" t="str">
        <f t="shared" si="0"/>
        <v>Eligible</v>
      </c>
    </row>
    <row r="24" spans="1:11" x14ac:dyDescent="0.35">
      <c r="A24" s="4">
        <v>23</v>
      </c>
      <c r="B24" s="3" t="s">
        <v>46</v>
      </c>
      <c r="C24" s="3" t="s">
        <v>11</v>
      </c>
      <c r="D24" s="3" t="s">
        <v>12</v>
      </c>
      <c r="E24" s="3">
        <v>69527</v>
      </c>
      <c r="F24" s="3">
        <v>110559</v>
      </c>
      <c r="G24" s="3" t="s">
        <v>22</v>
      </c>
      <c r="H24" s="3" t="s">
        <v>14</v>
      </c>
      <c r="I24" s="3">
        <v>611</v>
      </c>
      <c r="J24" s="5" t="s">
        <v>15</v>
      </c>
      <c r="K24" s="3" t="str">
        <f t="shared" si="0"/>
        <v>Review</v>
      </c>
    </row>
    <row r="25" spans="1:11" x14ac:dyDescent="0.35">
      <c r="A25" s="4">
        <v>24</v>
      </c>
      <c r="B25" s="3" t="s">
        <v>47</v>
      </c>
      <c r="C25" s="3" t="s">
        <v>17</v>
      </c>
      <c r="D25" s="3" t="s">
        <v>12</v>
      </c>
      <c r="E25" s="3">
        <v>48267</v>
      </c>
      <c r="F25" s="3">
        <v>233342</v>
      </c>
      <c r="G25" s="3" t="s">
        <v>22</v>
      </c>
      <c r="H25" s="3" t="s">
        <v>23</v>
      </c>
      <c r="I25" s="3">
        <v>836</v>
      </c>
      <c r="J25" s="5" t="s">
        <v>32</v>
      </c>
      <c r="K25" s="3" t="str">
        <f t="shared" si="0"/>
        <v>Review</v>
      </c>
    </row>
    <row r="26" spans="1:11" x14ac:dyDescent="0.35">
      <c r="A26" s="4">
        <v>25</v>
      </c>
      <c r="B26" s="3" t="s">
        <v>48</v>
      </c>
      <c r="C26" s="3" t="s">
        <v>17</v>
      </c>
      <c r="D26" s="3" t="s">
        <v>12</v>
      </c>
      <c r="E26" s="3">
        <v>79848</v>
      </c>
      <c r="F26" s="3">
        <v>245354</v>
      </c>
      <c r="G26" s="3" t="s">
        <v>13</v>
      </c>
      <c r="H26" s="3" t="s">
        <v>14</v>
      </c>
      <c r="I26" s="3">
        <v>435</v>
      </c>
      <c r="J26" s="5" t="s">
        <v>32</v>
      </c>
      <c r="K26" s="3" t="str">
        <f t="shared" si="0"/>
        <v>Eligible</v>
      </c>
    </row>
    <row r="27" spans="1:11" x14ac:dyDescent="0.35">
      <c r="A27" s="4">
        <v>26</v>
      </c>
      <c r="B27" s="3" t="s">
        <v>49</v>
      </c>
      <c r="C27" s="3" t="s">
        <v>17</v>
      </c>
      <c r="D27" s="3" t="s">
        <v>12</v>
      </c>
      <c r="E27" s="3">
        <v>60201</v>
      </c>
      <c r="F27" s="3">
        <v>262823</v>
      </c>
      <c r="G27" s="3" t="s">
        <v>22</v>
      </c>
      <c r="H27" s="3" t="s">
        <v>26</v>
      </c>
      <c r="I27" s="3">
        <v>716</v>
      </c>
      <c r="J27" s="5" t="s">
        <v>32</v>
      </c>
      <c r="K27" s="3" t="str">
        <f t="shared" si="0"/>
        <v>Review</v>
      </c>
    </row>
    <row r="28" spans="1:11" x14ac:dyDescent="0.35">
      <c r="A28" s="4">
        <v>27</v>
      </c>
      <c r="B28" s="3" t="s">
        <v>50</v>
      </c>
      <c r="C28" s="3" t="s">
        <v>11</v>
      </c>
      <c r="D28" s="3" t="s">
        <v>21</v>
      </c>
      <c r="E28" s="3">
        <v>33503</v>
      </c>
      <c r="F28" s="3">
        <v>333755</v>
      </c>
      <c r="G28" s="3" t="s">
        <v>22</v>
      </c>
      <c r="H28" s="3" t="s">
        <v>14</v>
      </c>
      <c r="I28" s="3">
        <v>301</v>
      </c>
      <c r="J28" s="5" t="s">
        <v>24</v>
      </c>
      <c r="K28" s="3" t="str">
        <f t="shared" si="0"/>
        <v>Review</v>
      </c>
    </row>
    <row r="29" spans="1:11" x14ac:dyDescent="0.35">
      <c r="A29" s="4">
        <v>28</v>
      </c>
      <c r="B29" s="3" t="s">
        <v>51</v>
      </c>
      <c r="C29" s="3" t="s">
        <v>11</v>
      </c>
      <c r="D29" s="3" t="s">
        <v>18</v>
      </c>
      <c r="E29" s="3">
        <v>104701</v>
      </c>
      <c r="F29" s="3">
        <v>473056</v>
      </c>
      <c r="G29" s="3" t="s">
        <v>22</v>
      </c>
      <c r="H29" s="3" t="s">
        <v>26</v>
      </c>
      <c r="I29" s="3">
        <v>437</v>
      </c>
      <c r="J29" s="5" t="s">
        <v>32</v>
      </c>
      <c r="K29" s="3" t="str">
        <f t="shared" si="0"/>
        <v>Review</v>
      </c>
    </row>
    <row r="30" spans="1:11" x14ac:dyDescent="0.35">
      <c r="A30" s="4">
        <v>29</v>
      </c>
      <c r="B30" s="3" t="s">
        <v>52</v>
      </c>
      <c r="C30" s="3" t="s">
        <v>17</v>
      </c>
      <c r="D30" s="3" t="s">
        <v>12</v>
      </c>
      <c r="E30" s="3">
        <v>32615</v>
      </c>
      <c r="F30" s="3">
        <v>11667</v>
      </c>
      <c r="G30" s="3" t="s">
        <v>13</v>
      </c>
      <c r="H30" s="3" t="s">
        <v>26</v>
      </c>
      <c r="I30" s="3">
        <v>361</v>
      </c>
      <c r="J30" s="5" t="s">
        <v>32</v>
      </c>
      <c r="K30" s="3" t="str">
        <f t="shared" si="0"/>
        <v>Review</v>
      </c>
    </row>
    <row r="31" spans="1:11" x14ac:dyDescent="0.35">
      <c r="A31" s="4">
        <v>30</v>
      </c>
      <c r="B31" s="3" t="s">
        <v>53</v>
      </c>
      <c r="C31" s="3" t="s">
        <v>11</v>
      </c>
      <c r="D31" s="3" t="s">
        <v>21</v>
      </c>
      <c r="E31" s="3">
        <v>76888</v>
      </c>
      <c r="F31" s="3">
        <v>197307</v>
      </c>
      <c r="G31" s="3" t="s">
        <v>22</v>
      </c>
      <c r="H31" s="3" t="s">
        <v>26</v>
      </c>
      <c r="I31" s="3">
        <v>658</v>
      </c>
      <c r="J31" s="5" t="s">
        <v>24</v>
      </c>
      <c r="K31" s="3" t="str">
        <f t="shared" si="0"/>
        <v>Review</v>
      </c>
    </row>
    <row r="32" spans="1:11" x14ac:dyDescent="0.35">
      <c r="A32" s="4">
        <v>31</v>
      </c>
      <c r="B32" s="3" t="s">
        <v>54</v>
      </c>
      <c r="C32" s="3" t="s">
        <v>17</v>
      </c>
      <c r="D32" s="3" t="s">
        <v>21</v>
      </c>
      <c r="E32" s="3">
        <v>76796</v>
      </c>
      <c r="F32" s="3">
        <v>137508</v>
      </c>
      <c r="G32" s="3" t="s">
        <v>13</v>
      </c>
      <c r="H32" s="3" t="s">
        <v>14</v>
      </c>
      <c r="I32" s="3">
        <v>846</v>
      </c>
      <c r="J32" s="5" t="s">
        <v>24</v>
      </c>
      <c r="K32" s="3" t="str">
        <f t="shared" si="0"/>
        <v>Eligible</v>
      </c>
    </row>
    <row r="33" spans="1:11" x14ac:dyDescent="0.35">
      <c r="A33" s="4">
        <v>32</v>
      </c>
      <c r="B33" s="3" t="s">
        <v>55</v>
      </c>
      <c r="C33" s="3" t="s">
        <v>17</v>
      </c>
      <c r="D33" s="3" t="s">
        <v>12</v>
      </c>
      <c r="E33" s="3">
        <v>114070</v>
      </c>
      <c r="F33" s="3">
        <v>131899</v>
      </c>
      <c r="G33" s="3" t="s">
        <v>22</v>
      </c>
      <c r="H33" s="3" t="s">
        <v>23</v>
      </c>
      <c r="I33" s="3">
        <v>582</v>
      </c>
      <c r="J33" s="5" t="s">
        <v>15</v>
      </c>
      <c r="K33" s="3" t="str">
        <f t="shared" si="0"/>
        <v>Review</v>
      </c>
    </row>
    <row r="34" spans="1:11" x14ac:dyDescent="0.35">
      <c r="A34" s="4">
        <v>33</v>
      </c>
      <c r="B34" s="3" t="s">
        <v>56</v>
      </c>
      <c r="C34" s="3" t="s">
        <v>17</v>
      </c>
      <c r="D34" s="3" t="s">
        <v>18</v>
      </c>
      <c r="E34" s="3">
        <v>94910</v>
      </c>
      <c r="F34" s="3">
        <v>477946</v>
      </c>
      <c r="G34" s="3" t="s">
        <v>13</v>
      </c>
      <c r="H34" s="3" t="s">
        <v>26</v>
      </c>
      <c r="I34" s="3">
        <v>586</v>
      </c>
      <c r="J34" s="5" t="s">
        <v>32</v>
      </c>
      <c r="K34" s="3" t="str">
        <f t="shared" si="0"/>
        <v>Eligible</v>
      </c>
    </row>
    <row r="35" spans="1:11" x14ac:dyDescent="0.35">
      <c r="A35" s="4">
        <v>34</v>
      </c>
      <c r="B35" s="3" t="s">
        <v>57</v>
      </c>
      <c r="C35" s="3" t="s">
        <v>11</v>
      </c>
      <c r="D35" s="3" t="s">
        <v>12</v>
      </c>
      <c r="E35" s="3">
        <v>58213</v>
      </c>
      <c r="F35" s="3">
        <v>356278</v>
      </c>
      <c r="G35" s="3" t="s">
        <v>13</v>
      </c>
      <c r="H35" s="3" t="s">
        <v>23</v>
      </c>
      <c r="I35" s="3">
        <v>720</v>
      </c>
      <c r="J35" s="5" t="s">
        <v>32</v>
      </c>
      <c r="K35" s="3" t="str">
        <f t="shared" si="0"/>
        <v>Eligible</v>
      </c>
    </row>
    <row r="36" spans="1:11" x14ac:dyDescent="0.35">
      <c r="A36" s="4">
        <v>35</v>
      </c>
      <c r="B36" s="3" t="s">
        <v>58</v>
      </c>
      <c r="C36" s="3" t="s">
        <v>11</v>
      </c>
      <c r="D36" s="3" t="s">
        <v>21</v>
      </c>
      <c r="E36" s="3">
        <v>113345</v>
      </c>
      <c r="F36" s="3">
        <v>481443</v>
      </c>
      <c r="G36" s="3" t="s">
        <v>13</v>
      </c>
      <c r="H36" s="3" t="s">
        <v>23</v>
      </c>
      <c r="I36" s="3">
        <v>770</v>
      </c>
      <c r="J36" s="5" t="s">
        <v>15</v>
      </c>
      <c r="K36" s="3" t="str">
        <f t="shared" si="0"/>
        <v>Eligible</v>
      </c>
    </row>
    <row r="37" spans="1:11" x14ac:dyDescent="0.35">
      <c r="A37" s="4">
        <v>36</v>
      </c>
      <c r="B37" s="3" t="s">
        <v>59</v>
      </c>
      <c r="C37" s="3" t="s">
        <v>11</v>
      </c>
      <c r="D37" s="3" t="s">
        <v>21</v>
      </c>
      <c r="E37" s="3">
        <v>75488</v>
      </c>
      <c r="F37" s="3">
        <v>69564</v>
      </c>
      <c r="G37" s="3" t="s">
        <v>13</v>
      </c>
      <c r="H37" s="3" t="s">
        <v>14</v>
      </c>
      <c r="I37" s="3">
        <v>562</v>
      </c>
      <c r="J37" s="5" t="s">
        <v>24</v>
      </c>
      <c r="K37" s="3" t="str">
        <f t="shared" si="0"/>
        <v>Eligible</v>
      </c>
    </row>
    <row r="38" spans="1:11" x14ac:dyDescent="0.35">
      <c r="A38" s="4">
        <v>37</v>
      </c>
      <c r="B38" s="3" t="s">
        <v>60</v>
      </c>
      <c r="C38" s="3" t="s">
        <v>17</v>
      </c>
      <c r="D38" s="3" t="s">
        <v>18</v>
      </c>
      <c r="E38" s="3">
        <v>29420</v>
      </c>
      <c r="F38" s="3">
        <v>486089</v>
      </c>
      <c r="G38" s="3" t="s">
        <v>13</v>
      </c>
      <c r="H38" s="3" t="s">
        <v>23</v>
      </c>
      <c r="I38" s="3">
        <v>408</v>
      </c>
      <c r="J38" s="5" t="s">
        <v>32</v>
      </c>
      <c r="K38" s="3" t="str">
        <f t="shared" si="0"/>
        <v>Review</v>
      </c>
    </row>
    <row r="39" spans="1:11" x14ac:dyDescent="0.35">
      <c r="A39" s="4">
        <v>38</v>
      </c>
      <c r="B39" s="3" t="s">
        <v>61</v>
      </c>
      <c r="C39" s="3" t="s">
        <v>17</v>
      </c>
      <c r="D39" s="3" t="s">
        <v>12</v>
      </c>
      <c r="E39" s="3">
        <v>53064</v>
      </c>
      <c r="F39" s="3">
        <v>445466</v>
      </c>
      <c r="G39" s="3" t="s">
        <v>13</v>
      </c>
      <c r="H39" s="3" t="s">
        <v>26</v>
      </c>
      <c r="I39" s="3">
        <v>715</v>
      </c>
      <c r="J39" s="5" t="s">
        <v>15</v>
      </c>
      <c r="K39" s="3" t="str">
        <f t="shared" si="0"/>
        <v>Eligible</v>
      </c>
    </row>
    <row r="40" spans="1:11" x14ac:dyDescent="0.35">
      <c r="A40" s="4">
        <v>39</v>
      </c>
      <c r="B40" s="3" t="s">
        <v>62</v>
      </c>
      <c r="C40" s="3" t="s">
        <v>11</v>
      </c>
      <c r="D40" s="3" t="s">
        <v>21</v>
      </c>
      <c r="E40" s="3">
        <v>37061</v>
      </c>
      <c r="F40" s="3">
        <v>91427</v>
      </c>
      <c r="G40" s="3" t="s">
        <v>13</v>
      </c>
      <c r="H40" s="3" t="s">
        <v>23</v>
      </c>
      <c r="I40" s="3">
        <v>367</v>
      </c>
      <c r="J40" s="5" t="s">
        <v>32</v>
      </c>
      <c r="K40" s="3" t="str">
        <f t="shared" si="0"/>
        <v>Review</v>
      </c>
    </row>
    <row r="41" spans="1:11" x14ac:dyDescent="0.35">
      <c r="A41" s="4">
        <v>40</v>
      </c>
      <c r="B41" s="3" t="s">
        <v>63</v>
      </c>
      <c r="C41" s="3" t="s">
        <v>11</v>
      </c>
      <c r="D41" s="3" t="s">
        <v>21</v>
      </c>
      <c r="E41" s="3">
        <v>111728</v>
      </c>
      <c r="F41" s="3">
        <v>251615</v>
      </c>
      <c r="G41" s="3" t="s">
        <v>13</v>
      </c>
      <c r="H41" s="3" t="s">
        <v>14</v>
      </c>
      <c r="I41" s="3">
        <v>798</v>
      </c>
      <c r="J41" s="5" t="s">
        <v>24</v>
      </c>
      <c r="K41" s="3" t="str">
        <f t="shared" si="0"/>
        <v>Eligible</v>
      </c>
    </row>
    <row r="42" spans="1:11" x14ac:dyDescent="0.35">
      <c r="A42" s="4">
        <v>41</v>
      </c>
      <c r="B42" s="3" t="s">
        <v>64</v>
      </c>
      <c r="C42" s="3" t="s">
        <v>11</v>
      </c>
      <c r="D42" s="3" t="s">
        <v>12</v>
      </c>
      <c r="E42" s="3">
        <v>89585</v>
      </c>
      <c r="F42" s="3">
        <v>428976</v>
      </c>
      <c r="G42" s="3" t="s">
        <v>22</v>
      </c>
      <c r="H42" s="3" t="s">
        <v>26</v>
      </c>
      <c r="I42" s="3">
        <v>572</v>
      </c>
      <c r="J42" s="5" t="s">
        <v>24</v>
      </c>
      <c r="K42" s="3" t="str">
        <f t="shared" si="0"/>
        <v>Review</v>
      </c>
    </row>
    <row r="43" spans="1:11" x14ac:dyDescent="0.35">
      <c r="A43" s="4">
        <v>42</v>
      </c>
      <c r="B43" s="3" t="s">
        <v>65</v>
      </c>
      <c r="C43" s="3" t="s">
        <v>11</v>
      </c>
      <c r="D43" s="3" t="s">
        <v>12</v>
      </c>
      <c r="E43" s="3">
        <v>94545</v>
      </c>
      <c r="F43" s="3">
        <v>404063</v>
      </c>
      <c r="G43" s="3" t="s">
        <v>22</v>
      </c>
      <c r="H43" s="3" t="s">
        <v>19</v>
      </c>
      <c r="I43" s="3">
        <v>765</v>
      </c>
      <c r="J43" s="5" t="s">
        <v>24</v>
      </c>
      <c r="K43" s="3" t="str">
        <f t="shared" si="0"/>
        <v>Review</v>
      </c>
    </row>
    <row r="44" spans="1:11" x14ac:dyDescent="0.35">
      <c r="A44" s="4">
        <v>43</v>
      </c>
      <c r="B44" s="3" t="s">
        <v>66</v>
      </c>
      <c r="C44" s="3" t="s">
        <v>11</v>
      </c>
      <c r="D44" s="3" t="s">
        <v>21</v>
      </c>
      <c r="E44" s="3">
        <v>40814</v>
      </c>
      <c r="F44" s="3">
        <v>245799</v>
      </c>
      <c r="G44" s="3" t="s">
        <v>13</v>
      </c>
      <c r="H44" s="3" t="s">
        <v>19</v>
      </c>
      <c r="I44" s="3">
        <v>411</v>
      </c>
      <c r="J44" s="5" t="s">
        <v>24</v>
      </c>
      <c r="K44" s="3" t="str">
        <f t="shared" si="0"/>
        <v>Review</v>
      </c>
    </row>
    <row r="45" spans="1:11" x14ac:dyDescent="0.35">
      <c r="A45" s="4">
        <v>44</v>
      </c>
      <c r="B45" s="3" t="s">
        <v>67</v>
      </c>
      <c r="C45" s="3" t="s">
        <v>17</v>
      </c>
      <c r="D45" s="3" t="s">
        <v>12</v>
      </c>
      <c r="E45" s="3">
        <v>109981</v>
      </c>
      <c r="F45" s="3">
        <v>50312</v>
      </c>
      <c r="G45" s="3" t="s">
        <v>22</v>
      </c>
      <c r="H45" s="3" t="s">
        <v>19</v>
      </c>
      <c r="I45" s="3">
        <v>536</v>
      </c>
      <c r="J45" s="5" t="s">
        <v>15</v>
      </c>
      <c r="K45" s="3" t="str">
        <f t="shared" si="0"/>
        <v>Review</v>
      </c>
    </row>
    <row r="46" spans="1:11" x14ac:dyDescent="0.35">
      <c r="A46" s="4">
        <v>45</v>
      </c>
      <c r="B46" s="3" t="s">
        <v>68</v>
      </c>
      <c r="C46" s="3" t="s">
        <v>17</v>
      </c>
      <c r="D46" s="3" t="s">
        <v>12</v>
      </c>
      <c r="E46" s="3">
        <v>22460</v>
      </c>
      <c r="F46" s="3">
        <v>379279</v>
      </c>
      <c r="G46" s="3" t="s">
        <v>22</v>
      </c>
      <c r="H46" s="3" t="s">
        <v>14</v>
      </c>
      <c r="I46" s="3">
        <v>603</v>
      </c>
      <c r="J46" s="5" t="s">
        <v>24</v>
      </c>
      <c r="K46" s="3" t="str">
        <f t="shared" si="0"/>
        <v>Review</v>
      </c>
    </row>
    <row r="47" spans="1:11" x14ac:dyDescent="0.35">
      <c r="A47" s="4">
        <v>46</v>
      </c>
      <c r="B47" s="3" t="s">
        <v>69</v>
      </c>
      <c r="C47" s="3" t="s">
        <v>17</v>
      </c>
      <c r="D47" s="3" t="s">
        <v>21</v>
      </c>
      <c r="E47" s="3">
        <v>101563</v>
      </c>
      <c r="F47" s="3">
        <v>332211</v>
      </c>
      <c r="G47" s="3" t="s">
        <v>22</v>
      </c>
      <c r="H47" s="3" t="s">
        <v>19</v>
      </c>
      <c r="I47" s="3">
        <v>885</v>
      </c>
      <c r="J47" s="5" t="s">
        <v>24</v>
      </c>
      <c r="K47" s="3" t="str">
        <f t="shared" si="0"/>
        <v>Review</v>
      </c>
    </row>
    <row r="48" spans="1:11" x14ac:dyDescent="0.35">
      <c r="A48" s="4">
        <v>47</v>
      </c>
      <c r="B48" s="3" t="s">
        <v>70</v>
      </c>
      <c r="C48" s="3" t="s">
        <v>17</v>
      </c>
      <c r="D48" s="3" t="s">
        <v>21</v>
      </c>
      <c r="E48" s="3">
        <v>96035</v>
      </c>
      <c r="F48" s="3">
        <v>483226</v>
      </c>
      <c r="G48" s="3" t="s">
        <v>22</v>
      </c>
      <c r="H48" s="3" t="s">
        <v>23</v>
      </c>
      <c r="I48" s="3">
        <v>899</v>
      </c>
      <c r="J48" s="5" t="s">
        <v>32</v>
      </c>
      <c r="K48" s="3" t="str">
        <f t="shared" si="0"/>
        <v>Review</v>
      </c>
    </row>
    <row r="49" spans="1:11" x14ac:dyDescent="0.35">
      <c r="A49" s="4">
        <v>48</v>
      </c>
      <c r="B49" s="3" t="s">
        <v>71</v>
      </c>
      <c r="C49" s="3" t="s">
        <v>11</v>
      </c>
      <c r="D49" s="3" t="s">
        <v>12</v>
      </c>
      <c r="E49" s="3">
        <v>91349</v>
      </c>
      <c r="F49" s="3">
        <v>449991</v>
      </c>
      <c r="G49" s="3" t="s">
        <v>22</v>
      </c>
      <c r="H49" s="3" t="s">
        <v>26</v>
      </c>
      <c r="I49" s="3">
        <v>431</v>
      </c>
      <c r="J49" s="5" t="s">
        <v>32</v>
      </c>
      <c r="K49" s="3" t="str">
        <f t="shared" si="0"/>
        <v>Review</v>
      </c>
    </row>
    <row r="50" spans="1:11" x14ac:dyDescent="0.35">
      <c r="A50" s="4">
        <v>49</v>
      </c>
      <c r="B50" s="3" t="s">
        <v>72</v>
      </c>
      <c r="C50" s="3" t="s">
        <v>11</v>
      </c>
      <c r="D50" s="3" t="s">
        <v>18</v>
      </c>
      <c r="E50" s="3">
        <v>69915</v>
      </c>
      <c r="F50" s="3">
        <v>404383</v>
      </c>
      <c r="G50" s="3" t="s">
        <v>22</v>
      </c>
      <c r="H50" s="3" t="s">
        <v>19</v>
      </c>
      <c r="I50" s="3">
        <v>680</v>
      </c>
      <c r="J50" s="5" t="s">
        <v>32</v>
      </c>
      <c r="K50" s="3" t="str">
        <f t="shared" si="0"/>
        <v>Review</v>
      </c>
    </row>
    <row r="51" spans="1:11" x14ac:dyDescent="0.35">
      <c r="A51" s="4">
        <v>50</v>
      </c>
      <c r="B51" s="3" t="s">
        <v>73</v>
      </c>
      <c r="C51" s="3" t="s">
        <v>11</v>
      </c>
      <c r="D51" s="3" t="s">
        <v>18</v>
      </c>
      <c r="E51" s="3">
        <v>23768</v>
      </c>
      <c r="F51" s="3">
        <v>354734</v>
      </c>
      <c r="G51" s="3" t="s">
        <v>13</v>
      </c>
      <c r="H51" s="3" t="s">
        <v>26</v>
      </c>
      <c r="I51" s="3">
        <v>666</v>
      </c>
      <c r="J51" s="5" t="s">
        <v>32</v>
      </c>
      <c r="K51" s="3" t="str">
        <f t="shared" si="0"/>
        <v>Review</v>
      </c>
    </row>
    <row r="52" spans="1:11" x14ac:dyDescent="0.35">
      <c r="A52" s="4">
        <v>51</v>
      </c>
      <c r="B52" s="3" t="s">
        <v>74</v>
      </c>
      <c r="C52" s="3" t="s">
        <v>11</v>
      </c>
      <c r="D52" s="3" t="s">
        <v>12</v>
      </c>
      <c r="E52" s="3">
        <v>36370</v>
      </c>
      <c r="F52" s="3">
        <v>492070</v>
      </c>
      <c r="G52" s="3" t="s">
        <v>13</v>
      </c>
      <c r="H52" s="3" t="s">
        <v>23</v>
      </c>
      <c r="I52" s="3">
        <v>681</v>
      </c>
      <c r="J52" s="5" t="s">
        <v>15</v>
      </c>
      <c r="K52" s="3" t="str">
        <f t="shared" si="0"/>
        <v>Review</v>
      </c>
    </row>
    <row r="53" spans="1:11" x14ac:dyDescent="0.35">
      <c r="A53" s="4">
        <v>52</v>
      </c>
      <c r="B53" s="3" t="s">
        <v>75</v>
      </c>
      <c r="C53" s="3" t="s">
        <v>17</v>
      </c>
      <c r="D53" s="3" t="s">
        <v>21</v>
      </c>
      <c r="E53" s="3">
        <v>24849</v>
      </c>
      <c r="F53" s="3">
        <v>413563</v>
      </c>
      <c r="G53" s="3" t="s">
        <v>22</v>
      </c>
      <c r="H53" s="3" t="s">
        <v>14</v>
      </c>
      <c r="I53" s="3">
        <v>729</v>
      </c>
      <c r="J53" s="5" t="s">
        <v>15</v>
      </c>
      <c r="K53" s="3" t="str">
        <f t="shared" si="0"/>
        <v>Review</v>
      </c>
    </row>
    <row r="54" spans="1:11" x14ac:dyDescent="0.35">
      <c r="A54" s="4">
        <v>53</v>
      </c>
      <c r="B54" s="3" t="s">
        <v>76</v>
      </c>
      <c r="C54" s="3" t="s">
        <v>17</v>
      </c>
      <c r="D54" s="3" t="s">
        <v>21</v>
      </c>
      <c r="E54" s="3">
        <v>108297</v>
      </c>
      <c r="F54" s="3">
        <v>17991</v>
      </c>
      <c r="G54" s="3" t="s">
        <v>22</v>
      </c>
      <c r="H54" s="3" t="s">
        <v>23</v>
      </c>
      <c r="I54" s="3">
        <v>800</v>
      </c>
      <c r="J54" s="5" t="s">
        <v>15</v>
      </c>
      <c r="K54" s="3" t="str">
        <f t="shared" si="0"/>
        <v>Review</v>
      </c>
    </row>
    <row r="55" spans="1:11" x14ac:dyDescent="0.35">
      <c r="A55" s="4">
        <v>54</v>
      </c>
      <c r="B55" s="3" t="s">
        <v>77</v>
      </c>
      <c r="C55" s="3" t="s">
        <v>11</v>
      </c>
      <c r="D55" s="3" t="s">
        <v>18</v>
      </c>
      <c r="E55" s="3">
        <v>47804</v>
      </c>
      <c r="F55" s="3">
        <v>227530</v>
      </c>
      <c r="G55" s="3" t="s">
        <v>13</v>
      </c>
      <c r="H55" s="3" t="s">
        <v>14</v>
      </c>
      <c r="I55" s="3">
        <v>391</v>
      </c>
      <c r="J55" s="5" t="s">
        <v>15</v>
      </c>
      <c r="K55" s="3" t="str">
        <f t="shared" si="0"/>
        <v>Review</v>
      </c>
    </row>
    <row r="56" spans="1:11" x14ac:dyDescent="0.35">
      <c r="A56" s="4">
        <v>55</v>
      </c>
      <c r="B56" s="3" t="s">
        <v>78</v>
      </c>
      <c r="C56" s="3" t="s">
        <v>17</v>
      </c>
      <c r="D56" s="3" t="s">
        <v>18</v>
      </c>
      <c r="E56" s="3">
        <v>116244</v>
      </c>
      <c r="F56" s="3">
        <v>142701</v>
      </c>
      <c r="G56" s="3" t="s">
        <v>22</v>
      </c>
      <c r="H56" s="3" t="s">
        <v>19</v>
      </c>
      <c r="I56" s="3">
        <v>519</v>
      </c>
      <c r="J56" s="5" t="s">
        <v>15</v>
      </c>
      <c r="K56" s="3" t="str">
        <f t="shared" si="0"/>
        <v>Review</v>
      </c>
    </row>
    <row r="57" spans="1:11" x14ac:dyDescent="0.35">
      <c r="A57" s="4">
        <v>56</v>
      </c>
      <c r="B57" s="3" t="s">
        <v>79</v>
      </c>
      <c r="C57" s="3" t="s">
        <v>17</v>
      </c>
      <c r="D57" s="3" t="s">
        <v>21</v>
      </c>
      <c r="E57" s="3">
        <v>59802</v>
      </c>
      <c r="F57" s="3">
        <v>203804</v>
      </c>
      <c r="G57" s="3" t="s">
        <v>22</v>
      </c>
      <c r="H57" s="3" t="s">
        <v>14</v>
      </c>
      <c r="I57" s="3">
        <v>413</v>
      </c>
      <c r="J57" s="5" t="s">
        <v>24</v>
      </c>
      <c r="K57" s="3" t="str">
        <f t="shared" si="0"/>
        <v>Review</v>
      </c>
    </row>
    <row r="58" spans="1:11" x14ac:dyDescent="0.35">
      <c r="A58" s="4">
        <v>57</v>
      </c>
      <c r="B58" s="3" t="s">
        <v>80</v>
      </c>
      <c r="C58" s="3" t="s">
        <v>17</v>
      </c>
      <c r="D58" s="3" t="s">
        <v>18</v>
      </c>
      <c r="E58" s="3">
        <v>107161</v>
      </c>
      <c r="F58" s="3">
        <v>105235</v>
      </c>
      <c r="G58" s="3" t="s">
        <v>22</v>
      </c>
      <c r="H58" s="3" t="s">
        <v>19</v>
      </c>
      <c r="I58" s="3">
        <v>626</v>
      </c>
      <c r="J58" s="5" t="s">
        <v>24</v>
      </c>
      <c r="K58" s="3" t="str">
        <f t="shared" si="0"/>
        <v>Review</v>
      </c>
    </row>
    <row r="59" spans="1:11" x14ac:dyDescent="0.35">
      <c r="A59" s="4">
        <v>58</v>
      </c>
      <c r="B59" s="3" t="s">
        <v>81</v>
      </c>
      <c r="C59" s="3" t="s">
        <v>11</v>
      </c>
      <c r="D59" s="3" t="s">
        <v>18</v>
      </c>
      <c r="E59" s="3">
        <v>95518</v>
      </c>
      <c r="F59" s="3">
        <v>221010</v>
      </c>
      <c r="G59" s="3" t="s">
        <v>22</v>
      </c>
      <c r="H59" s="3" t="s">
        <v>26</v>
      </c>
      <c r="I59" s="3">
        <v>532</v>
      </c>
      <c r="J59" s="5" t="s">
        <v>24</v>
      </c>
      <c r="K59" s="3" t="str">
        <f t="shared" si="0"/>
        <v>Review</v>
      </c>
    </row>
    <row r="60" spans="1:11" x14ac:dyDescent="0.35">
      <c r="A60" s="4">
        <v>59</v>
      </c>
      <c r="B60" s="3" t="s">
        <v>82</v>
      </c>
      <c r="C60" s="3" t="s">
        <v>11</v>
      </c>
      <c r="D60" s="3" t="s">
        <v>18</v>
      </c>
      <c r="E60" s="3">
        <v>62457</v>
      </c>
      <c r="F60" s="3">
        <v>470446</v>
      </c>
      <c r="G60" s="3" t="s">
        <v>13</v>
      </c>
      <c r="H60" s="3" t="s">
        <v>26</v>
      </c>
      <c r="I60" s="3">
        <v>695</v>
      </c>
      <c r="J60" s="5" t="s">
        <v>24</v>
      </c>
      <c r="K60" s="3" t="str">
        <f t="shared" si="0"/>
        <v>Eligible</v>
      </c>
    </row>
    <row r="61" spans="1:11" x14ac:dyDescent="0.35">
      <c r="A61" s="4">
        <v>60</v>
      </c>
      <c r="B61" s="3" t="s">
        <v>83</v>
      </c>
      <c r="C61" s="3" t="s">
        <v>11</v>
      </c>
      <c r="D61" s="3" t="s">
        <v>21</v>
      </c>
      <c r="E61" s="3">
        <v>72823</v>
      </c>
      <c r="F61" s="3">
        <v>272637</v>
      </c>
      <c r="G61" s="3" t="s">
        <v>13</v>
      </c>
      <c r="H61" s="3" t="s">
        <v>19</v>
      </c>
      <c r="I61" s="3">
        <v>503</v>
      </c>
      <c r="J61" s="5" t="s">
        <v>24</v>
      </c>
      <c r="K61" s="3" t="str">
        <f t="shared" si="0"/>
        <v>Eligible</v>
      </c>
    </row>
    <row r="62" spans="1:11" x14ac:dyDescent="0.35">
      <c r="A62" s="4">
        <v>61</v>
      </c>
      <c r="B62" s="3" t="s">
        <v>84</v>
      </c>
      <c r="C62" s="3" t="s">
        <v>11</v>
      </c>
      <c r="D62" s="3" t="s">
        <v>21</v>
      </c>
      <c r="E62" s="3">
        <v>58047</v>
      </c>
      <c r="F62" s="3">
        <v>450660</v>
      </c>
      <c r="G62" s="3" t="s">
        <v>13</v>
      </c>
      <c r="H62" s="3" t="s">
        <v>19</v>
      </c>
      <c r="I62" s="3">
        <v>408</v>
      </c>
      <c r="J62" s="5" t="s">
        <v>15</v>
      </c>
      <c r="K62" s="3" t="str">
        <f t="shared" si="0"/>
        <v>Eligible</v>
      </c>
    </row>
    <row r="63" spans="1:11" x14ac:dyDescent="0.35">
      <c r="A63" s="4">
        <v>62</v>
      </c>
      <c r="B63" s="3" t="s">
        <v>85</v>
      </c>
      <c r="C63" s="3" t="s">
        <v>11</v>
      </c>
      <c r="D63" s="3" t="s">
        <v>12</v>
      </c>
      <c r="E63" s="3">
        <v>119261</v>
      </c>
      <c r="F63" s="3">
        <v>150352</v>
      </c>
      <c r="G63" s="3" t="s">
        <v>13</v>
      </c>
      <c r="H63" s="3" t="s">
        <v>19</v>
      </c>
      <c r="I63" s="3">
        <v>315</v>
      </c>
      <c r="J63" s="5" t="s">
        <v>32</v>
      </c>
      <c r="K63" s="3" t="str">
        <f t="shared" si="0"/>
        <v>Eligible</v>
      </c>
    </row>
    <row r="64" spans="1:11" x14ac:dyDescent="0.35">
      <c r="A64" s="4">
        <v>63</v>
      </c>
      <c r="B64" s="3" t="s">
        <v>86</v>
      </c>
      <c r="C64" s="3" t="s">
        <v>17</v>
      </c>
      <c r="D64" s="3" t="s">
        <v>21</v>
      </c>
      <c r="E64" s="3">
        <v>22827</v>
      </c>
      <c r="F64" s="3">
        <v>388459</v>
      </c>
      <c r="G64" s="3" t="s">
        <v>13</v>
      </c>
      <c r="H64" s="3" t="s">
        <v>23</v>
      </c>
      <c r="I64" s="3">
        <v>657</v>
      </c>
      <c r="J64" s="5" t="s">
        <v>15</v>
      </c>
      <c r="K64" s="3" t="str">
        <f t="shared" si="0"/>
        <v>Review</v>
      </c>
    </row>
    <row r="65" spans="1:11" x14ac:dyDescent="0.35">
      <c r="A65" s="4">
        <v>64</v>
      </c>
      <c r="B65" s="3" t="s">
        <v>87</v>
      </c>
      <c r="C65" s="3" t="s">
        <v>11</v>
      </c>
      <c r="D65" s="3" t="s">
        <v>12</v>
      </c>
      <c r="E65" s="3">
        <v>97801</v>
      </c>
      <c r="F65" s="3">
        <v>68583</v>
      </c>
      <c r="G65" s="3" t="s">
        <v>13</v>
      </c>
      <c r="H65" s="3" t="s">
        <v>26</v>
      </c>
      <c r="I65" s="3">
        <v>705</v>
      </c>
      <c r="J65" s="5" t="s">
        <v>15</v>
      </c>
      <c r="K65" s="3" t="str">
        <f t="shared" si="0"/>
        <v>Eligible</v>
      </c>
    </row>
    <row r="66" spans="1:11" x14ac:dyDescent="0.35">
      <c r="A66" s="4">
        <v>65</v>
      </c>
      <c r="B66" s="3" t="s">
        <v>88</v>
      </c>
      <c r="C66" s="3" t="s">
        <v>17</v>
      </c>
      <c r="D66" s="3" t="s">
        <v>21</v>
      </c>
      <c r="E66" s="3">
        <v>40769</v>
      </c>
      <c r="F66" s="3">
        <v>121955</v>
      </c>
      <c r="G66" s="3" t="s">
        <v>22</v>
      </c>
      <c r="H66" s="3" t="s">
        <v>19</v>
      </c>
      <c r="I66" s="3">
        <v>515</v>
      </c>
      <c r="J66" s="5" t="s">
        <v>15</v>
      </c>
      <c r="K66" s="3" t="str">
        <f t="shared" ref="K66:K129" si="1">IF(AND(E66&gt;50000,G66="Approved"),"Eligible","Review")</f>
        <v>Review</v>
      </c>
    </row>
    <row r="67" spans="1:11" x14ac:dyDescent="0.35">
      <c r="A67" s="4">
        <v>66</v>
      </c>
      <c r="B67" s="3" t="s">
        <v>89</v>
      </c>
      <c r="C67" s="3" t="s">
        <v>17</v>
      </c>
      <c r="D67" s="3" t="s">
        <v>18</v>
      </c>
      <c r="E67" s="3">
        <v>42831</v>
      </c>
      <c r="F67" s="3">
        <v>320984</v>
      </c>
      <c r="G67" s="3" t="s">
        <v>22</v>
      </c>
      <c r="H67" s="3" t="s">
        <v>14</v>
      </c>
      <c r="I67" s="3">
        <v>567</v>
      </c>
      <c r="J67" s="5" t="s">
        <v>15</v>
      </c>
      <c r="K67" s="3" t="str">
        <f t="shared" si="1"/>
        <v>Review</v>
      </c>
    </row>
    <row r="68" spans="1:11" x14ac:dyDescent="0.35">
      <c r="A68" s="4">
        <v>67</v>
      </c>
      <c r="B68" s="3" t="s">
        <v>90</v>
      </c>
      <c r="C68" s="3" t="s">
        <v>17</v>
      </c>
      <c r="D68" s="3" t="s">
        <v>21</v>
      </c>
      <c r="E68" s="3">
        <v>89310</v>
      </c>
      <c r="F68" s="3">
        <v>322754</v>
      </c>
      <c r="G68" s="3" t="s">
        <v>22</v>
      </c>
      <c r="H68" s="3" t="s">
        <v>14</v>
      </c>
      <c r="I68" s="3">
        <v>628</v>
      </c>
      <c r="J68" s="5" t="s">
        <v>24</v>
      </c>
      <c r="K68" s="3" t="str">
        <f t="shared" si="1"/>
        <v>Review</v>
      </c>
    </row>
    <row r="69" spans="1:11" x14ac:dyDescent="0.35">
      <c r="A69" s="4">
        <v>68</v>
      </c>
      <c r="B69" s="3" t="s">
        <v>91</v>
      </c>
      <c r="C69" s="3" t="s">
        <v>17</v>
      </c>
      <c r="D69" s="3" t="s">
        <v>18</v>
      </c>
      <c r="E69" s="3">
        <v>101211</v>
      </c>
      <c r="F69" s="3">
        <v>373107</v>
      </c>
      <c r="G69" s="3" t="s">
        <v>22</v>
      </c>
      <c r="H69" s="3" t="s">
        <v>19</v>
      </c>
      <c r="I69" s="3">
        <v>838</v>
      </c>
      <c r="J69" s="5" t="s">
        <v>32</v>
      </c>
      <c r="K69" s="3" t="str">
        <f t="shared" si="1"/>
        <v>Review</v>
      </c>
    </row>
    <row r="70" spans="1:11" x14ac:dyDescent="0.35">
      <c r="A70" s="4">
        <v>69</v>
      </c>
      <c r="B70" s="3" t="s">
        <v>92</v>
      </c>
      <c r="C70" s="3" t="s">
        <v>11</v>
      </c>
      <c r="D70" s="3" t="s">
        <v>18</v>
      </c>
      <c r="E70" s="3">
        <v>25855</v>
      </c>
      <c r="F70" s="3">
        <v>370155</v>
      </c>
      <c r="G70" s="3" t="s">
        <v>22</v>
      </c>
      <c r="H70" s="3" t="s">
        <v>14</v>
      </c>
      <c r="I70" s="3">
        <v>813</v>
      </c>
      <c r="J70" s="5" t="s">
        <v>24</v>
      </c>
      <c r="K70" s="3" t="str">
        <f t="shared" si="1"/>
        <v>Review</v>
      </c>
    </row>
    <row r="71" spans="1:11" x14ac:dyDescent="0.35">
      <c r="A71" s="4">
        <v>70</v>
      </c>
      <c r="B71" s="3" t="s">
        <v>93</v>
      </c>
      <c r="C71" s="3" t="s">
        <v>11</v>
      </c>
      <c r="D71" s="3" t="s">
        <v>21</v>
      </c>
      <c r="E71" s="3">
        <v>68506</v>
      </c>
      <c r="F71" s="3">
        <v>165891</v>
      </c>
      <c r="G71" s="3" t="s">
        <v>13</v>
      </c>
      <c r="H71" s="3" t="s">
        <v>23</v>
      </c>
      <c r="I71" s="3">
        <v>396</v>
      </c>
      <c r="J71" s="5" t="s">
        <v>32</v>
      </c>
      <c r="K71" s="3" t="str">
        <f t="shared" si="1"/>
        <v>Eligible</v>
      </c>
    </row>
    <row r="72" spans="1:11" x14ac:dyDescent="0.35">
      <c r="A72" s="4">
        <v>71</v>
      </c>
      <c r="B72" s="3" t="s">
        <v>94</v>
      </c>
      <c r="C72" s="3" t="s">
        <v>17</v>
      </c>
      <c r="D72" s="3" t="s">
        <v>18</v>
      </c>
      <c r="E72" s="3">
        <v>78627</v>
      </c>
      <c r="F72" s="3">
        <v>438372</v>
      </c>
      <c r="G72" s="3" t="s">
        <v>13</v>
      </c>
      <c r="H72" s="3" t="s">
        <v>23</v>
      </c>
      <c r="I72" s="3">
        <v>649</v>
      </c>
      <c r="J72" s="5" t="s">
        <v>24</v>
      </c>
      <c r="K72" s="3" t="str">
        <f t="shared" si="1"/>
        <v>Eligible</v>
      </c>
    </row>
    <row r="73" spans="1:11" x14ac:dyDescent="0.35">
      <c r="A73" s="4">
        <v>72</v>
      </c>
      <c r="B73" s="3" t="s">
        <v>95</v>
      </c>
      <c r="C73" s="3" t="s">
        <v>17</v>
      </c>
      <c r="D73" s="3" t="s">
        <v>12</v>
      </c>
      <c r="E73" s="3">
        <v>80609</v>
      </c>
      <c r="F73" s="3">
        <v>22323</v>
      </c>
      <c r="G73" s="3" t="s">
        <v>13</v>
      </c>
      <c r="H73" s="3" t="s">
        <v>23</v>
      </c>
      <c r="I73" s="3">
        <v>664</v>
      </c>
      <c r="J73" s="5" t="s">
        <v>32</v>
      </c>
      <c r="K73" s="3" t="str">
        <f t="shared" si="1"/>
        <v>Eligible</v>
      </c>
    </row>
    <row r="74" spans="1:11" x14ac:dyDescent="0.35">
      <c r="A74" s="4">
        <v>73</v>
      </c>
      <c r="B74" s="3" t="s">
        <v>96</v>
      </c>
      <c r="C74" s="3" t="s">
        <v>11</v>
      </c>
      <c r="D74" s="3" t="s">
        <v>12</v>
      </c>
      <c r="E74" s="3">
        <v>81124</v>
      </c>
      <c r="F74" s="3">
        <v>9317</v>
      </c>
      <c r="G74" s="3" t="s">
        <v>22</v>
      </c>
      <c r="H74" s="3" t="s">
        <v>26</v>
      </c>
      <c r="I74" s="3">
        <v>527</v>
      </c>
      <c r="J74" s="5" t="s">
        <v>32</v>
      </c>
      <c r="K74" s="3" t="str">
        <f t="shared" si="1"/>
        <v>Review</v>
      </c>
    </row>
    <row r="75" spans="1:11" x14ac:dyDescent="0.35">
      <c r="A75" s="4">
        <v>74</v>
      </c>
      <c r="B75" s="3" t="s">
        <v>97</v>
      </c>
      <c r="C75" s="3" t="s">
        <v>11</v>
      </c>
      <c r="D75" s="3" t="s">
        <v>21</v>
      </c>
      <c r="E75" s="3">
        <v>50703</v>
      </c>
      <c r="F75" s="3">
        <v>448003</v>
      </c>
      <c r="G75" s="3" t="s">
        <v>13</v>
      </c>
      <c r="H75" s="3" t="s">
        <v>14</v>
      </c>
      <c r="I75" s="3">
        <v>492</v>
      </c>
      <c r="J75" s="5" t="s">
        <v>15</v>
      </c>
      <c r="K75" s="3" t="str">
        <f t="shared" si="1"/>
        <v>Eligible</v>
      </c>
    </row>
    <row r="76" spans="1:11" x14ac:dyDescent="0.35">
      <c r="A76" s="4">
        <v>75</v>
      </c>
      <c r="B76" s="3" t="s">
        <v>98</v>
      </c>
      <c r="C76" s="3" t="s">
        <v>11</v>
      </c>
      <c r="D76" s="3" t="s">
        <v>12</v>
      </c>
      <c r="E76" s="3">
        <v>105298</v>
      </c>
      <c r="F76" s="3">
        <v>43573</v>
      </c>
      <c r="G76" s="3" t="s">
        <v>22</v>
      </c>
      <c r="H76" s="3" t="s">
        <v>23</v>
      </c>
      <c r="I76" s="3">
        <v>420</v>
      </c>
      <c r="J76" s="5" t="s">
        <v>32</v>
      </c>
      <c r="K76" s="3" t="str">
        <f t="shared" si="1"/>
        <v>Review</v>
      </c>
    </row>
    <row r="77" spans="1:11" x14ac:dyDescent="0.35">
      <c r="A77" s="4">
        <v>76</v>
      </c>
      <c r="B77" s="3" t="s">
        <v>99</v>
      </c>
      <c r="C77" s="3" t="s">
        <v>11</v>
      </c>
      <c r="D77" s="3" t="s">
        <v>21</v>
      </c>
      <c r="E77" s="3">
        <v>115180</v>
      </c>
      <c r="F77" s="3">
        <v>91820</v>
      </c>
      <c r="G77" s="3" t="s">
        <v>13</v>
      </c>
      <c r="H77" s="3" t="s">
        <v>26</v>
      </c>
      <c r="I77" s="3">
        <v>885</v>
      </c>
      <c r="J77" s="5" t="s">
        <v>32</v>
      </c>
      <c r="K77" s="3" t="str">
        <f t="shared" si="1"/>
        <v>Eligible</v>
      </c>
    </row>
    <row r="78" spans="1:11" x14ac:dyDescent="0.35">
      <c r="A78" s="4">
        <v>77</v>
      </c>
      <c r="B78" s="3" t="s">
        <v>100</v>
      </c>
      <c r="C78" s="3" t="s">
        <v>17</v>
      </c>
      <c r="D78" s="3" t="s">
        <v>18</v>
      </c>
      <c r="E78" s="3">
        <v>113423</v>
      </c>
      <c r="F78" s="3">
        <v>314944</v>
      </c>
      <c r="G78" s="3" t="s">
        <v>22</v>
      </c>
      <c r="H78" s="3" t="s">
        <v>14</v>
      </c>
      <c r="I78" s="3">
        <v>874</v>
      </c>
      <c r="J78" s="5" t="s">
        <v>24</v>
      </c>
      <c r="K78" s="3" t="str">
        <f t="shared" si="1"/>
        <v>Review</v>
      </c>
    </row>
    <row r="79" spans="1:11" x14ac:dyDescent="0.35">
      <c r="A79" s="4">
        <v>78</v>
      </c>
      <c r="B79" s="3" t="s">
        <v>101</v>
      </c>
      <c r="C79" s="3" t="s">
        <v>17</v>
      </c>
      <c r="D79" s="3" t="s">
        <v>12</v>
      </c>
      <c r="E79" s="3">
        <v>39439</v>
      </c>
      <c r="F79" s="3">
        <v>117717</v>
      </c>
      <c r="G79" s="3" t="s">
        <v>13</v>
      </c>
      <c r="H79" s="3" t="s">
        <v>26</v>
      </c>
      <c r="I79" s="3">
        <v>743</v>
      </c>
      <c r="J79" s="5" t="s">
        <v>32</v>
      </c>
      <c r="K79" s="3" t="str">
        <f t="shared" si="1"/>
        <v>Review</v>
      </c>
    </row>
    <row r="80" spans="1:11" x14ac:dyDescent="0.35">
      <c r="A80" s="4">
        <v>79</v>
      </c>
      <c r="B80" s="3" t="s">
        <v>102</v>
      </c>
      <c r="C80" s="3" t="s">
        <v>11</v>
      </c>
      <c r="D80" s="3" t="s">
        <v>21</v>
      </c>
      <c r="E80" s="3">
        <v>112819</v>
      </c>
      <c r="F80" s="3">
        <v>52136</v>
      </c>
      <c r="G80" s="3" t="s">
        <v>13</v>
      </c>
      <c r="H80" s="3" t="s">
        <v>19</v>
      </c>
      <c r="I80" s="3">
        <v>308</v>
      </c>
      <c r="J80" s="5" t="s">
        <v>32</v>
      </c>
      <c r="K80" s="3" t="str">
        <f t="shared" si="1"/>
        <v>Eligible</v>
      </c>
    </row>
    <row r="81" spans="1:11" x14ac:dyDescent="0.35">
      <c r="A81" s="4">
        <v>80</v>
      </c>
      <c r="B81" s="3" t="s">
        <v>103</v>
      </c>
      <c r="C81" s="3" t="s">
        <v>11</v>
      </c>
      <c r="D81" s="3" t="s">
        <v>18</v>
      </c>
      <c r="E81" s="3">
        <v>82560</v>
      </c>
      <c r="F81" s="3">
        <v>281509</v>
      </c>
      <c r="G81" s="3" t="s">
        <v>13</v>
      </c>
      <c r="H81" s="3" t="s">
        <v>23</v>
      </c>
      <c r="I81" s="3">
        <v>592</v>
      </c>
      <c r="J81" s="5" t="s">
        <v>32</v>
      </c>
      <c r="K81" s="3" t="str">
        <f t="shared" si="1"/>
        <v>Eligible</v>
      </c>
    </row>
    <row r="82" spans="1:11" x14ac:dyDescent="0.35">
      <c r="A82" s="4">
        <v>81</v>
      </c>
      <c r="B82" s="3" t="s">
        <v>104</v>
      </c>
      <c r="C82" s="3" t="s">
        <v>11</v>
      </c>
      <c r="D82" s="3" t="s">
        <v>12</v>
      </c>
      <c r="E82" s="3">
        <v>38554</v>
      </c>
      <c r="F82" s="3">
        <v>127501</v>
      </c>
      <c r="G82" s="3" t="s">
        <v>13</v>
      </c>
      <c r="H82" s="3" t="s">
        <v>14</v>
      </c>
      <c r="I82" s="3">
        <v>536</v>
      </c>
      <c r="J82" s="5" t="s">
        <v>24</v>
      </c>
      <c r="K82" s="3" t="str">
        <f t="shared" si="1"/>
        <v>Review</v>
      </c>
    </row>
    <row r="83" spans="1:11" x14ac:dyDescent="0.35">
      <c r="A83" s="4">
        <v>82</v>
      </c>
      <c r="B83" s="3" t="s">
        <v>105</v>
      </c>
      <c r="C83" s="3" t="s">
        <v>17</v>
      </c>
      <c r="D83" s="3" t="s">
        <v>21</v>
      </c>
      <c r="E83" s="3">
        <v>72209</v>
      </c>
      <c r="F83" s="3">
        <v>186985</v>
      </c>
      <c r="G83" s="3" t="s">
        <v>22</v>
      </c>
      <c r="H83" s="3" t="s">
        <v>19</v>
      </c>
      <c r="I83" s="3">
        <v>636</v>
      </c>
      <c r="J83" s="5" t="s">
        <v>24</v>
      </c>
      <c r="K83" s="3" t="str">
        <f t="shared" si="1"/>
        <v>Review</v>
      </c>
    </row>
    <row r="84" spans="1:11" x14ac:dyDescent="0.35">
      <c r="A84" s="4">
        <v>83</v>
      </c>
      <c r="B84" s="3" t="s">
        <v>106</v>
      </c>
      <c r="C84" s="3" t="s">
        <v>17</v>
      </c>
      <c r="D84" s="3" t="s">
        <v>12</v>
      </c>
      <c r="E84" s="3">
        <v>91508</v>
      </c>
      <c r="F84" s="3">
        <v>78301</v>
      </c>
      <c r="G84" s="3" t="s">
        <v>22</v>
      </c>
      <c r="H84" s="3" t="s">
        <v>23</v>
      </c>
      <c r="I84" s="3">
        <v>652</v>
      </c>
      <c r="J84" s="5" t="s">
        <v>15</v>
      </c>
      <c r="K84" s="3" t="str">
        <f t="shared" si="1"/>
        <v>Review</v>
      </c>
    </row>
    <row r="85" spans="1:11" x14ac:dyDescent="0.35">
      <c r="A85" s="4">
        <v>84</v>
      </c>
      <c r="B85" s="3" t="s">
        <v>107</v>
      </c>
      <c r="C85" s="3" t="s">
        <v>11</v>
      </c>
      <c r="D85" s="3" t="s">
        <v>12</v>
      </c>
      <c r="E85" s="3">
        <v>52314</v>
      </c>
      <c r="F85" s="3">
        <v>183214</v>
      </c>
      <c r="G85" s="3" t="s">
        <v>22</v>
      </c>
      <c r="H85" s="3" t="s">
        <v>14</v>
      </c>
      <c r="I85" s="3">
        <v>610</v>
      </c>
      <c r="J85" s="5" t="s">
        <v>32</v>
      </c>
      <c r="K85" s="3" t="str">
        <f t="shared" si="1"/>
        <v>Review</v>
      </c>
    </row>
    <row r="86" spans="1:11" x14ac:dyDescent="0.35">
      <c r="A86" s="4">
        <v>85</v>
      </c>
      <c r="B86" s="3" t="s">
        <v>108</v>
      </c>
      <c r="C86" s="3" t="s">
        <v>11</v>
      </c>
      <c r="D86" s="3" t="s">
        <v>21</v>
      </c>
      <c r="E86" s="3">
        <v>71129</v>
      </c>
      <c r="F86" s="3">
        <v>137279</v>
      </c>
      <c r="G86" s="3" t="s">
        <v>13</v>
      </c>
      <c r="H86" s="3" t="s">
        <v>26</v>
      </c>
      <c r="I86" s="3">
        <v>382</v>
      </c>
      <c r="J86" s="5" t="s">
        <v>24</v>
      </c>
      <c r="K86" s="3" t="str">
        <f t="shared" si="1"/>
        <v>Eligible</v>
      </c>
    </row>
    <row r="87" spans="1:11" x14ac:dyDescent="0.35">
      <c r="A87" s="4">
        <v>86</v>
      </c>
      <c r="B87" s="3" t="s">
        <v>109</v>
      </c>
      <c r="C87" s="3" t="s">
        <v>17</v>
      </c>
      <c r="D87" s="3" t="s">
        <v>12</v>
      </c>
      <c r="E87" s="3">
        <v>39618</v>
      </c>
      <c r="F87" s="3">
        <v>218478</v>
      </c>
      <c r="G87" s="3" t="s">
        <v>13</v>
      </c>
      <c r="H87" s="3" t="s">
        <v>14</v>
      </c>
      <c r="I87" s="3">
        <v>382</v>
      </c>
      <c r="J87" s="5" t="s">
        <v>32</v>
      </c>
      <c r="K87" s="3" t="str">
        <f t="shared" si="1"/>
        <v>Review</v>
      </c>
    </row>
    <row r="88" spans="1:11" x14ac:dyDescent="0.35">
      <c r="A88" s="4">
        <v>87</v>
      </c>
      <c r="B88" s="3" t="s">
        <v>110</v>
      </c>
      <c r="C88" s="3" t="s">
        <v>17</v>
      </c>
      <c r="D88" s="3" t="s">
        <v>18</v>
      </c>
      <c r="E88" s="3">
        <v>47035</v>
      </c>
      <c r="F88" s="3">
        <v>480654</v>
      </c>
      <c r="G88" s="3" t="s">
        <v>22</v>
      </c>
      <c r="H88" s="3" t="s">
        <v>26</v>
      </c>
      <c r="I88" s="3">
        <v>514</v>
      </c>
      <c r="J88" s="5" t="s">
        <v>24</v>
      </c>
      <c r="K88" s="3" t="str">
        <f t="shared" si="1"/>
        <v>Review</v>
      </c>
    </row>
    <row r="89" spans="1:11" x14ac:dyDescent="0.35">
      <c r="A89" s="4">
        <v>88</v>
      </c>
      <c r="B89" s="3" t="s">
        <v>111</v>
      </c>
      <c r="C89" s="3" t="s">
        <v>11</v>
      </c>
      <c r="D89" s="3" t="s">
        <v>21</v>
      </c>
      <c r="E89" s="3">
        <v>84339</v>
      </c>
      <c r="F89" s="3">
        <v>307378</v>
      </c>
      <c r="G89" s="3" t="s">
        <v>22</v>
      </c>
      <c r="H89" s="3" t="s">
        <v>14</v>
      </c>
      <c r="I89" s="3">
        <v>407</v>
      </c>
      <c r="J89" s="5" t="s">
        <v>24</v>
      </c>
      <c r="K89" s="3" t="str">
        <f t="shared" si="1"/>
        <v>Review</v>
      </c>
    </row>
    <row r="90" spans="1:11" x14ac:dyDescent="0.35">
      <c r="A90" s="4">
        <v>89</v>
      </c>
      <c r="B90" s="3" t="s">
        <v>112</v>
      </c>
      <c r="C90" s="3" t="s">
        <v>11</v>
      </c>
      <c r="D90" s="3" t="s">
        <v>12</v>
      </c>
      <c r="E90" s="3">
        <v>56209</v>
      </c>
      <c r="F90" s="3">
        <v>178419</v>
      </c>
      <c r="G90" s="3" t="s">
        <v>22</v>
      </c>
      <c r="H90" s="3" t="s">
        <v>23</v>
      </c>
      <c r="I90" s="3">
        <v>609</v>
      </c>
      <c r="J90" s="5" t="s">
        <v>24</v>
      </c>
      <c r="K90" s="3" t="str">
        <f t="shared" si="1"/>
        <v>Review</v>
      </c>
    </row>
    <row r="91" spans="1:11" x14ac:dyDescent="0.35">
      <c r="A91" s="4">
        <v>90</v>
      </c>
      <c r="B91" s="3" t="s">
        <v>113</v>
      </c>
      <c r="C91" s="3" t="s">
        <v>17</v>
      </c>
      <c r="D91" s="3" t="s">
        <v>21</v>
      </c>
      <c r="E91" s="3">
        <v>70693</v>
      </c>
      <c r="F91" s="3">
        <v>203386</v>
      </c>
      <c r="G91" s="3" t="s">
        <v>22</v>
      </c>
      <c r="H91" s="3" t="s">
        <v>23</v>
      </c>
      <c r="I91" s="3">
        <v>338</v>
      </c>
      <c r="J91" s="5" t="s">
        <v>15</v>
      </c>
      <c r="K91" s="3" t="str">
        <f t="shared" si="1"/>
        <v>Review</v>
      </c>
    </row>
    <row r="92" spans="1:11" x14ac:dyDescent="0.35">
      <c r="A92" s="4">
        <v>91</v>
      </c>
      <c r="B92" s="3" t="s">
        <v>114</v>
      </c>
      <c r="C92" s="3" t="s">
        <v>17</v>
      </c>
      <c r="D92" s="3" t="s">
        <v>18</v>
      </c>
      <c r="E92" s="3">
        <v>94953</v>
      </c>
      <c r="F92" s="3">
        <v>455236</v>
      </c>
      <c r="G92" s="3" t="s">
        <v>13</v>
      </c>
      <c r="H92" s="3" t="s">
        <v>19</v>
      </c>
      <c r="I92" s="3">
        <v>784</v>
      </c>
      <c r="J92" s="5" t="s">
        <v>24</v>
      </c>
      <c r="K92" s="3" t="str">
        <f t="shared" si="1"/>
        <v>Eligible</v>
      </c>
    </row>
    <row r="93" spans="1:11" x14ac:dyDescent="0.35">
      <c r="A93" s="4">
        <v>92</v>
      </c>
      <c r="B93" s="3" t="s">
        <v>115</v>
      </c>
      <c r="C93" s="3" t="s">
        <v>17</v>
      </c>
      <c r="D93" s="3" t="s">
        <v>18</v>
      </c>
      <c r="E93" s="3">
        <v>119142</v>
      </c>
      <c r="F93" s="3">
        <v>283594</v>
      </c>
      <c r="G93" s="3" t="s">
        <v>13</v>
      </c>
      <c r="H93" s="3" t="s">
        <v>23</v>
      </c>
      <c r="I93" s="3">
        <v>612</v>
      </c>
      <c r="J93" s="5" t="s">
        <v>15</v>
      </c>
      <c r="K93" s="3" t="str">
        <f t="shared" si="1"/>
        <v>Eligible</v>
      </c>
    </row>
    <row r="94" spans="1:11" x14ac:dyDescent="0.35">
      <c r="A94" s="4">
        <v>93</v>
      </c>
      <c r="B94" s="3" t="s">
        <v>116</v>
      </c>
      <c r="C94" s="3" t="s">
        <v>17</v>
      </c>
      <c r="D94" s="3" t="s">
        <v>21</v>
      </c>
      <c r="E94" s="3">
        <v>35399</v>
      </c>
      <c r="F94" s="3">
        <v>375292</v>
      </c>
      <c r="G94" s="3" t="s">
        <v>13</v>
      </c>
      <c r="H94" s="3" t="s">
        <v>23</v>
      </c>
      <c r="I94" s="3">
        <v>301</v>
      </c>
      <c r="J94" s="5" t="s">
        <v>15</v>
      </c>
      <c r="K94" s="3" t="str">
        <f t="shared" si="1"/>
        <v>Review</v>
      </c>
    </row>
    <row r="95" spans="1:11" x14ac:dyDescent="0.35">
      <c r="A95" s="4">
        <v>94</v>
      </c>
      <c r="B95" s="3" t="s">
        <v>117</v>
      </c>
      <c r="C95" s="3" t="s">
        <v>11</v>
      </c>
      <c r="D95" s="3" t="s">
        <v>12</v>
      </c>
      <c r="E95" s="3">
        <v>99922</v>
      </c>
      <c r="F95" s="3">
        <v>361161</v>
      </c>
      <c r="G95" s="3" t="s">
        <v>13</v>
      </c>
      <c r="H95" s="3" t="s">
        <v>19</v>
      </c>
      <c r="I95" s="3">
        <v>471</v>
      </c>
      <c r="J95" s="5" t="s">
        <v>24</v>
      </c>
      <c r="K95" s="3" t="str">
        <f t="shared" si="1"/>
        <v>Eligible</v>
      </c>
    </row>
    <row r="96" spans="1:11" x14ac:dyDescent="0.35">
      <c r="A96" s="4">
        <v>95</v>
      </c>
      <c r="B96" s="3" t="s">
        <v>118</v>
      </c>
      <c r="C96" s="3" t="s">
        <v>11</v>
      </c>
      <c r="D96" s="3" t="s">
        <v>18</v>
      </c>
      <c r="E96" s="3">
        <v>67224</v>
      </c>
      <c r="F96" s="3">
        <v>139082</v>
      </c>
      <c r="G96" s="3" t="s">
        <v>22</v>
      </c>
      <c r="H96" s="3" t="s">
        <v>26</v>
      </c>
      <c r="I96" s="3">
        <v>507</v>
      </c>
      <c r="J96" s="5" t="s">
        <v>24</v>
      </c>
      <c r="K96" s="3" t="str">
        <f t="shared" si="1"/>
        <v>Review</v>
      </c>
    </row>
    <row r="97" spans="1:11" x14ac:dyDescent="0.35">
      <c r="A97" s="4">
        <v>96</v>
      </c>
      <c r="B97" s="3" t="s">
        <v>119</v>
      </c>
      <c r="C97" s="3" t="s">
        <v>11</v>
      </c>
      <c r="D97" s="3" t="s">
        <v>12</v>
      </c>
      <c r="E97" s="3">
        <v>63528</v>
      </c>
      <c r="F97" s="3">
        <v>153607</v>
      </c>
      <c r="G97" s="3" t="s">
        <v>13</v>
      </c>
      <c r="H97" s="3" t="s">
        <v>23</v>
      </c>
      <c r="I97" s="3">
        <v>633</v>
      </c>
      <c r="J97" s="5" t="s">
        <v>32</v>
      </c>
      <c r="K97" s="3" t="str">
        <f t="shared" si="1"/>
        <v>Eligible</v>
      </c>
    </row>
    <row r="98" spans="1:11" x14ac:dyDescent="0.35">
      <c r="A98" s="4">
        <v>97</v>
      </c>
      <c r="B98" s="3" t="s">
        <v>120</v>
      </c>
      <c r="C98" s="3" t="s">
        <v>17</v>
      </c>
      <c r="D98" s="3" t="s">
        <v>12</v>
      </c>
      <c r="E98" s="3">
        <v>29258</v>
      </c>
      <c r="F98" s="3">
        <v>171037</v>
      </c>
      <c r="G98" s="3" t="s">
        <v>22</v>
      </c>
      <c r="H98" s="3" t="s">
        <v>26</v>
      </c>
      <c r="I98" s="3">
        <v>706</v>
      </c>
      <c r="J98" s="5" t="s">
        <v>24</v>
      </c>
      <c r="K98" s="3" t="str">
        <f t="shared" si="1"/>
        <v>Review</v>
      </c>
    </row>
    <row r="99" spans="1:11" x14ac:dyDescent="0.35">
      <c r="A99" s="4">
        <v>98</v>
      </c>
      <c r="B99" s="3" t="s">
        <v>121</v>
      </c>
      <c r="C99" s="3" t="s">
        <v>11</v>
      </c>
      <c r="D99" s="3" t="s">
        <v>21</v>
      </c>
      <c r="E99" s="3">
        <v>99056</v>
      </c>
      <c r="F99" s="3">
        <v>146347</v>
      </c>
      <c r="G99" s="3" t="s">
        <v>22</v>
      </c>
      <c r="H99" s="3" t="s">
        <v>14</v>
      </c>
      <c r="I99" s="3">
        <v>589</v>
      </c>
      <c r="J99" s="5" t="s">
        <v>15</v>
      </c>
      <c r="K99" s="3" t="str">
        <f t="shared" si="1"/>
        <v>Review</v>
      </c>
    </row>
    <row r="100" spans="1:11" x14ac:dyDescent="0.35">
      <c r="A100" s="4">
        <v>99</v>
      </c>
      <c r="B100" s="3" t="s">
        <v>122</v>
      </c>
      <c r="C100" s="3" t="s">
        <v>11</v>
      </c>
      <c r="D100" s="3" t="s">
        <v>18</v>
      </c>
      <c r="E100" s="3">
        <v>96952</v>
      </c>
      <c r="F100" s="3">
        <v>374299</v>
      </c>
      <c r="G100" s="3" t="s">
        <v>13</v>
      </c>
      <c r="H100" s="3" t="s">
        <v>14</v>
      </c>
      <c r="I100" s="3">
        <v>640</v>
      </c>
      <c r="J100" s="5" t="s">
        <v>24</v>
      </c>
      <c r="K100" s="3" t="str">
        <f t="shared" si="1"/>
        <v>Eligible</v>
      </c>
    </row>
    <row r="101" spans="1:11" x14ac:dyDescent="0.35">
      <c r="A101" s="4">
        <v>100</v>
      </c>
      <c r="B101" s="3" t="s">
        <v>123</v>
      </c>
      <c r="C101" s="3" t="s">
        <v>11</v>
      </c>
      <c r="D101" s="3" t="s">
        <v>21</v>
      </c>
      <c r="E101" s="3">
        <v>89395</v>
      </c>
      <c r="F101" s="3">
        <v>191396</v>
      </c>
      <c r="G101" s="3" t="s">
        <v>22</v>
      </c>
      <c r="H101" s="3" t="s">
        <v>23</v>
      </c>
      <c r="I101" s="3">
        <v>325</v>
      </c>
      <c r="J101" s="5" t="s">
        <v>24</v>
      </c>
      <c r="K101" s="3" t="str">
        <f t="shared" si="1"/>
        <v>Review</v>
      </c>
    </row>
    <row r="102" spans="1:11" x14ac:dyDescent="0.35">
      <c r="A102" s="4">
        <v>101</v>
      </c>
      <c r="B102" s="3" t="s">
        <v>124</v>
      </c>
      <c r="C102" s="3" t="s">
        <v>17</v>
      </c>
      <c r="D102" s="3" t="s">
        <v>12</v>
      </c>
      <c r="E102" s="3">
        <v>70080</v>
      </c>
      <c r="F102" s="3">
        <v>354083</v>
      </c>
      <c r="G102" s="3" t="s">
        <v>13</v>
      </c>
      <c r="H102" s="3" t="s">
        <v>19</v>
      </c>
      <c r="I102" s="3">
        <v>502</v>
      </c>
      <c r="J102" s="5" t="s">
        <v>32</v>
      </c>
      <c r="K102" s="3" t="str">
        <f t="shared" si="1"/>
        <v>Eligible</v>
      </c>
    </row>
    <row r="103" spans="1:11" x14ac:dyDescent="0.35">
      <c r="A103" s="4">
        <v>102</v>
      </c>
      <c r="B103" s="3" t="s">
        <v>125</v>
      </c>
      <c r="C103" s="3" t="s">
        <v>17</v>
      </c>
      <c r="D103" s="3" t="s">
        <v>21</v>
      </c>
      <c r="E103" s="3">
        <v>112994</v>
      </c>
      <c r="F103" s="3">
        <v>499320</v>
      </c>
      <c r="G103" s="3" t="s">
        <v>13</v>
      </c>
      <c r="H103" s="3" t="s">
        <v>23</v>
      </c>
      <c r="I103" s="3">
        <v>344</v>
      </c>
      <c r="J103" s="5" t="s">
        <v>24</v>
      </c>
      <c r="K103" s="3" t="str">
        <f t="shared" si="1"/>
        <v>Eligible</v>
      </c>
    </row>
    <row r="104" spans="1:11" x14ac:dyDescent="0.35">
      <c r="A104" s="4">
        <v>103</v>
      </c>
      <c r="B104" s="3" t="s">
        <v>126</v>
      </c>
      <c r="C104" s="3" t="s">
        <v>17</v>
      </c>
      <c r="D104" s="3" t="s">
        <v>12</v>
      </c>
      <c r="E104" s="3">
        <v>42068</v>
      </c>
      <c r="F104" s="3">
        <v>338428</v>
      </c>
      <c r="G104" s="3" t="s">
        <v>13</v>
      </c>
      <c r="H104" s="3" t="s">
        <v>14</v>
      </c>
      <c r="I104" s="3">
        <v>499</v>
      </c>
      <c r="J104" s="5" t="s">
        <v>32</v>
      </c>
      <c r="K104" s="3" t="str">
        <f t="shared" si="1"/>
        <v>Review</v>
      </c>
    </row>
    <row r="105" spans="1:11" x14ac:dyDescent="0.35">
      <c r="A105" s="4">
        <v>104</v>
      </c>
      <c r="B105" s="3" t="s">
        <v>127</v>
      </c>
      <c r="C105" s="3" t="s">
        <v>17</v>
      </c>
      <c r="D105" s="3" t="s">
        <v>21</v>
      </c>
      <c r="E105" s="3">
        <v>98316</v>
      </c>
      <c r="F105" s="3">
        <v>242711</v>
      </c>
      <c r="G105" s="3" t="s">
        <v>22</v>
      </c>
      <c r="H105" s="3" t="s">
        <v>26</v>
      </c>
      <c r="I105" s="3">
        <v>611</v>
      </c>
      <c r="J105" s="5" t="s">
        <v>32</v>
      </c>
      <c r="K105" s="3" t="str">
        <f t="shared" si="1"/>
        <v>Review</v>
      </c>
    </row>
    <row r="106" spans="1:11" x14ac:dyDescent="0.35">
      <c r="A106" s="4">
        <v>105</v>
      </c>
      <c r="B106" s="3" t="s">
        <v>128</v>
      </c>
      <c r="C106" s="3" t="s">
        <v>11</v>
      </c>
      <c r="D106" s="3" t="s">
        <v>12</v>
      </c>
      <c r="E106" s="3">
        <v>94950</v>
      </c>
      <c r="F106" s="3">
        <v>364808</v>
      </c>
      <c r="G106" s="3" t="s">
        <v>22</v>
      </c>
      <c r="H106" s="3" t="s">
        <v>26</v>
      </c>
      <c r="I106" s="3">
        <v>677</v>
      </c>
      <c r="J106" s="5" t="s">
        <v>24</v>
      </c>
      <c r="K106" s="3" t="str">
        <f t="shared" si="1"/>
        <v>Review</v>
      </c>
    </row>
    <row r="107" spans="1:11" x14ac:dyDescent="0.35">
      <c r="A107" s="4">
        <v>106</v>
      </c>
      <c r="B107" s="3" t="s">
        <v>129</v>
      </c>
      <c r="C107" s="3" t="s">
        <v>17</v>
      </c>
      <c r="D107" s="3" t="s">
        <v>12</v>
      </c>
      <c r="E107" s="3">
        <v>42773</v>
      </c>
      <c r="F107" s="3">
        <v>333566</v>
      </c>
      <c r="G107" s="3" t="s">
        <v>13</v>
      </c>
      <c r="H107" s="3" t="s">
        <v>19</v>
      </c>
      <c r="I107" s="3">
        <v>371</v>
      </c>
      <c r="J107" s="5" t="s">
        <v>24</v>
      </c>
      <c r="K107" s="3" t="str">
        <f t="shared" si="1"/>
        <v>Review</v>
      </c>
    </row>
    <row r="108" spans="1:11" x14ac:dyDescent="0.35">
      <c r="A108" s="4">
        <v>107</v>
      </c>
      <c r="B108" s="3" t="s">
        <v>130</v>
      </c>
      <c r="C108" s="3" t="s">
        <v>11</v>
      </c>
      <c r="D108" s="3" t="s">
        <v>18</v>
      </c>
      <c r="E108" s="3">
        <v>75849</v>
      </c>
      <c r="F108" s="3">
        <v>395553</v>
      </c>
      <c r="G108" s="3" t="s">
        <v>13</v>
      </c>
      <c r="H108" s="3" t="s">
        <v>19</v>
      </c>
      <c r="I108" s="3">
        <v>796</v>
      </c>
      <c r="J108" s="5" t="s">
        <v>32</v>
      </c>
      <c r="K108" s="3" t="str">
        <f t="shared" si="1"/>
        <v>Eligible</v>
      </c>
    </row>
    <row r="109" spans="1:11" x14ac:dyDescent="0.35">
      <c r="A109" s="4">
        <v>108</v>
      </c>
      <c r="B109" s="3" t="s">
        <v>131</v>
      </c>
      <c r="C109" s="3" t="s">
        <v>11</v>
      </c>
      <c r="D109" s="3" t="s">
        <v>12</v>
      </c>
      <c r="E109" s="3">
        <v>49024</v>
      </c>
      <c r="F109" s="3">
        <v>80752</v>
      </c>
      <c r="G109" s="3" t="s">
        <v>22</v>
      </c>
      <c r="H109" s="3" t="s">
        <v>14</v>
      </c>
      <c r="I109" s="3">
        <v>565</v>
      </c>
      <c r="J109" s="5" t="s">
        <v>32</v>
      </c>
      <c r="K109" s="3" t="str">
        <f t="shared" si="1"/>
        <v>Review</v>
      </c>
    </row>
    <row r="110" spans="1:11" x14ac:dyDescent="0.35">
      <c r="A110" s="4">
        <v>109</v>
      </c>
      <c r="B110" s="3" t="s">
        <v>132</v>
      </c>
      <c r="C110" s="3" t="s">
        <v>17</v>
      </c>
      <c r="D110" s="3" t="s">
        <v>21</v>
      </c>
      <c r="E110" s="3">
        <v>50511</v>
      </c>
      <c r="F110" s="3">
        <v>444288</v>
      </c>
      <c r="G110" s="3" t="s">
        <v>22</v>
      </c>
      <c r="H110" s="3" t="s">
        <v>23</v>
      </c>
      <c r="I110" s="3">
        <v>640</v>
      </c>
      <c r="J110" s="5" t="s">
        <v>32</v>
      </c>
      <c r="K110" s="3" t="str">
        <f t="shared" si="1"/>
        <v>Review</v>
      </c>
    </row>
    <row r="111" spans="1:11" x14ac:dyDescent="0.35">
      <c r="A111" s="4">
        <v>110</v>
      </c>
      <c r="B111" s="3" t="s">
        <v>133</v>
      </c>
      <c r="C111" s="3" t="s">
        <v>11</v>
      </c>
      <c r="D111" s="3" t="s">
        <v>21</v>
      </c>
      <c r="E111" s="3">
        <v>31365</v>
      </c>
      <c r="F111" s="3">
        <v>394413</v>
      </c>
      <c r="G111" s="3" t="s">
        <v>22</v>
      </c>
      <c r="H111" s="3" t="s">
        <v>26</v>
      </c>
      <c r="I111" s="3">
        <v>433</v>
      </c>
      <c r="J111" s="5" t="s">
        <v>15</v>
      </c>
      <c r="K111" s="3" t="str">
        <f t="shared" si="1"/>
        <v>Review</v>
      </c>
    </row>
    <row r="112" spans="1:11" x14ac:dyDescent="0.35">
      <c r="A112" s="4">
        <v>111</v>
      </c>
      <c r="B112" s="3" t="s">
        <v>134</v>
      </c>
      <c r="C112" s="3" t="s">
        <v>11</v>
      </c>
      <c r="D112" s="3" t="s">
        <v>21</v>
      </c>
      <c r="E112" s="3">
        <v>22851</v>
      </c>
      <c r="F112" s="3">
        <v>262281</v>
      </c>
      <c r="G112" s="3" t="s">
        <v>13</v>
      </c>
      <c r="H112" s="3" t="s">
        <v>14</v>
      </c>
      <c r="I112" s="3">
        <v>332</v>
      </c>
      <c r="J112" s="5" t="s">
        <v>15</v>
      </c>
      <c r="K112" s="3" t="str">
        <f t="shared" si="1"/>
        <v>Review</v>
      </c>
    </row>
    <row r="113" spans="1:11" x14ac:dyDescent="0.35">
      <c r="A113" s="4">
        <v>112</v>
      </c>
      <c r="B113" s="3" t="s">
        <v>135</v>
      </c>
      <c r="C113" s="3" t="s">
        <v>17</v>
      </c>
      <c r="D113" s="3" t="s">
        <v>18</v>
      </c>
      <c r="E113" s="3">
        <v>73380</v>
      </c>
      <c r="F113" s="3">
        <v>121280</v>
      </c>
      <c r="G113" s="3" t="s">
        <v>22</v>
      </c>
      <c r="H113" s="3" t="s">
        <v>23</v>
      </c>
      <c r="I113" s="3">
        <v>378</v>
      </c>
      <c r="J113" s="5" t="s">
        <v>32</v>
      </c>
      <c r="K113" s="3" t="str">
        <f t="shared" si="1"/>
        <v>Review</v>
      </c>
    </row>
    <row r="114" spans="1:11" x14ac:dyDescent="0.35">
      <c r="A114" s="4">
        <v>113</v>
      </c>
      <c r="B114" s="3" t="s">
        <v>136</v>
      </c>
      <c r="C114" s="3" t="s">
        <v>17</v>
      </c>
      <c r="D114" s="3" t="s">
        <v>21</v>
      </c>
      <c r="E114" s="3">
        <v>89249</v>
      </c>
      <c r="F114" s="3">
        <v>498359</v>
      </c>
      <c r="G114" s="3" t="s">
        <v>22</v>
      </c>
      <c r="H114" s="3" t="s">
        <v>14</v>
      </c>
      <c r="I114" s="3">
        <v>505</v>
      </c>
      <c r="J114" s="5" t="s">
        <v>15</v>
      </c>
      <c r="K114" s="3" t="str">
        <f t="shared" si="1"/>
        <v>Review</v>
      </c>
    </row>
    <row r="115" spans="1:11" x14ac:dyDescent="0.35">
      <c r="A115" s="4">
        <v>114</v>
      </c>
      <c r="B115" s="3" t="s">
        <v>137</v>
      </c>
      <c r="C115" s="3" t="s">
        <v>11</v>
      </c>
      <c r="D115" s="3" t="s">
        <v>21</v>
      </c>
      <c r="E115" s="3">
        <v>98770</v>
      </c>
      <c r="F115" s="3">
        <v>64975</v>
      </c>
      <c r="G115" s="3" t="s">
        <v>22</v>
      </c>
      <c r="H115" s="3" t="s">
        <v>19</v>
      </c>
      <c r="I115" s="3">
        <v>469</v>
      </c>
      <c r="J115" s="5" t="s">
        <v>24</v>
      </c>
      <c r="K115" s="3" t="str">
        <f t="shared" si="1"/>
        <v>Review</v>
      </c>
    </row>
    <row r="116" spans="1:11" x14ac:dyDescent="0.35">
      <c r="A116" s="4">
        <v>115</v>
      </c>
      <c r="B116" s="3" t="s">
        <v>138</v>
      </c>
      <c r="C116" s="3" t="s">
        <v>17</v>
      </c>
      <c r="D116" s="3" t="s">
        <v>12</v>
      </c>
      <c r="E116" s="3">
        <v>40085</v>
      </c>
      <c r="F116" s="3">
        <v>103487</v>
      </c>
      <c r="G116" s="3" t="s">
        <v>22</v>
      </c>
      <c r="H116" s="3" t="s">
        <v>23</v>
      </c>
      <c r="I116" s="3">
        <v>879</v>
      </c>
      <c r="J116" s="5" t="s">
        <v>32</v>
      </c>
      <c r="K116" s="3" t="str">
        <f t="shared" si="1"/>
        <v>Review</v>
      </c>
    </row>
    <row r="117" spans="1:11" x14ac:dyDescent="0.35">
      <c r="A117" s="4">
        <v>116</v>
      </c>
      <c r="B117" s="3" t="s">
        <v>139</v>
      </c>
      <c r="C117" s="3" t="s">
        <v>17</v>
      </c>
      <c r="D117" s="3" t="s">
        <v>18</v>
      </c>
      <c r="E117" s="3">
        <v>82258</v>
      </c>
      <c r="F117" s="3">
        <v>253280</v>
      </c>
      <c r="G117" s="3" t="s">
        <v>22</v>
      </c>
      <c r="H117" s="3" t="s">
        <v>14</v>
      </c>
      <c r="I117" s="3">
        <v>468</v>
      </c>
      <c r="J117" s="5" t="s">
        <v>24</v>
      </c>
      <c r="K117" s="3" t="str">
        <f t="shared" si="1"/>
        <v>Review</v>
      </c>
    </row>
    <row r="118" spans="1:11" x14ac:dyDescent="0.35">
      <c r="A118" s="4">
        <v>117</v>
      </c>
      <c r="B118" s="3" t="s">
        <v>140</v>
      </c>
      <c r="C118" s="3" t="s">
        <v>11</v>
      </c>
      <c r="D118" s="3" t="s">
        <v>12</v>
      </c>
      <c r="E118" s="3">
        <v>109699</v>
      </c>
      <c r="F118" s="3">
        <v>197706</v>
      </c>
      <c r="G118" s="3" t="s">
        <v>13</v>
      </c>
      <c r="H118" s="3" t="s">
        <v>19</v>
      </c>
      <c r="I118" s="3">
        <v>523</v>
      </c>
      <c r="J118" s="5" t="s">
        <v>32</v>
      </c>
      <c r="K118" s="3" t="str">
        <f t="shared" si="1"/>
        <v>Eligible</v>
      </c>
    </row>
    <row r="119" spans="1:11" x14ac:dyDescent="0.35">
      <c r="A119" s="4">
        <v>118</v>
      </c>
      <c r="B119" s="3" t="s">
        <v>141</v>
      </c>
      <c r="C119" s="3" t="s">
        <v>11</v>
      </c>
      <c r="D119" s="3" t="s">
        <v>18</v>
      </c>
      <c r="E119" s="3">
        <v>64608</v>
      </c>
      <c r="F119" s="3">
        <v>71022</v>
      </c>
      <c r="G119" s="3" t="s">
        <v>22</v>
      </c>
      <c r="H119" s="3" t="s">
        <v>26</v>
      </c>
      <c r="I119" s="3">
        <v>420</v>
      </c>
      <c r="J119" s="5" t="s">
        <v>24</v>
      </c>
      <c r="K119" s="3" t="str">
        <f t="shared" si="1"/>
        <v>Review</v>
      </c>
    </row>
    <row r="120" spans="1:11" x14ac:dyDescent="0.35">
      <c r="A120" s="4">
        <v>119</v>
      </c>
      <c r="B120" s="3" t="s">
        <v>142</v>
      </c>
      <c r="C120" s="3" t="s">
        <v>11</v>
      </c>
      <c r="D120" s="3" t="s">
        <v>21</v>
      </c>
      <c r="E120" s="3">
        <v>112187</v>
      </c>
      <c r="F120" s="3">
        <v>488918</v>
      </c>
      <c r="G120" s="3" t="s">
        <v>13</v>
      </c>
      <c r="H120" s="3" t="s">
        <v>19</v>
      </c>
      <c r="I120" s="3">
        <v>658</v>
      </c>
      <c r="J120" s="5" t="s">
        <v>32</v>
      </c>
      <c r="K120" s="3" t="str">
        <f t="shared" si="1"/>
        <v>Eligible</v>
      </c>
    </row>
    <row r="121" spans="1:11" x14ac:dyDescent="0.35">
      <c r="A121" s="4">
        <v>120</v>
      </c>
      <c r="B121" s="3" t="s">
        <v>143</v>
      </c>
      <c r="C121" s="3" t="s">
        <v>11</v>
      </c>
      <c r="D121" s="3" t="s">
        <v>18</v>
      </c>
      <c r="E121" s="3">
        <v>41725</v>
      </c>
      <c r="F121" s="3">
        <v>92469</v>
      </c>
      <c r="G121" s="3" t="s">
        <v>13</v>
      </c>
      <c r="H121" s="3" t="s">
        <v>19</v>
      </c>
      <c r="I121" s="3">
        <v>403</v>
      </c>
      <c r="J121" s="5" t="s">
        <v>15</v>
      </c>
      <c r="K121" s="3" t="str">
        <f t="shared" si="1"/>
        <v>Review</v>
      </c>
    </row>
    <row r="122" spans="1:11" x14ac:dyDescent="0.35">
      <c r="A122" s="4">
        <v>121</v>
      </c>
      <c r="B122" s="3" t="s">
        <v>144</v>
      </c>
      <c r="C122" s="3" t="s">
        <v>11</v>
      </c>
      <c r="D122" s="3" t="s">
        <v>12</v>
      </c>
      <c r="E122" s="3">
        <v>85909</v>
      </c>
      <c r="F122" s="3">
        <v>313335</v>
      </c>
      <c r="G122" s="3" t="s">
        <v>13</v>
      </c>
      <c r="H122" s="3" t="s">
        <v>23</v>
      </c>
      <c r="I122" s="3">
        <v>692</v>
      </c>
      <c r="J122" s="5" t="s">
        <v>32</v>
      </c>
      <c r="K122" s="3" t="str">
        <f t="shared" si="1"/>
        <v>Eligible</v>
      </c>
    </row>
    <row r="123" spans="1:11" x14ac:dyDescent="0.35">
      <c r="A123" s="4">
        <v>122</v>
      </c>
      <c r="B123" s="3" t="s">
        <v>145</v>
      </c>
      <c r="C123" s="3" t="s">
        <v>17</v>
      </c>
      <c r="D123" s="3" t="s">
        <v>18</v>
      </c>
      <c r="E123" s="3">
        <v>116314</v>
      </c>
      <c r="F123" s="3">
        <v>249906</v>
      </c>
      <c r="G123" s="3" t="s">
        <v>22</v>
      </c>
      <c r="H123" s="3" t="s">
        <v>19</v>
      </c>
      <c r="I123" s="3">
        <v>700</v>
      </c>
      <c r="J123" s="5" t="s">
        <v>15</v>
      </c>
      <c r="K123" s="3" t="str">
        <f t="shared" si="1"/>
        <v>Review</v>
      </c>
    </row>
    <row r="124" spans="1:11" x14ac:dyDescent="0.35">
      <c r="A124" s="4">
        <v>123</v>
      </c>
      <c r="B124" s="3" t="s">
        <v>146</v>
      </c>
      <c r="C124" s="3" t="s">
        <v>17</v>
      </c>
      <c r="D124" s="3" t="s">
        <v>21</v>
      </c>
      <c r="E124" s="3">
        <v>36648</v>
      </c>
      <c r="F124" s="3">
        <v>372393</v>
      </c>
      <c r="G124" s="3" t="s">
        <v>13</v>
      </c>
      <c r="H124" s="3" t="s">
        <v>19</v>
      </c>
      <c r="I124" s="3">
        <v>847</v>
      </c>
      <c r="J124" s="5" t="s">
        <v>24</v>
      </c>
      <c r="K124" s="3" t="str">
        <f t="shared" si="1"/>
        <v>Review</v>
      </c>
    </row>
    <row r="125" spans="1:11" x14ac:dyDescent="0.35">
      <c r="A125" s="4">
        <v>124</v>
      </c>
      <c r="B125" s="3" t="s">
        <v>147</v>
      </c>
      <c r="C125" s="3" t="s">
        <v>17</v>
      </c>
      <c r="D125" s="3" t="s">
        <v>21</v>
      </c>
      <c r="E125" s="3">
        <v>41891</v>
      </c>
      <c r="F125" s="3">
        <v>448671</v>
      </c>
      <c r="G125" s="3" t="s">
        <v>13</v>
      </c>
      <c r="H125" s="3" t="s">
        <v>26</v>
      </c>
      <c r="I125" s="3">
        <v>876</v>
      </c>
      <c r="J125" s="5" t="s">
        <v>15</v>
      </c>
      <c r="K125" s="3" t="str">
        <f t="shared" si="1"/>
        <v>Review</v>
      </c>
    </row>
    <row r="126" spans="1:11" x14ac:dyDescent="0.35">
      <c r="A126" s="4">
        <v>125</v>
      </c>
      <c r="B126" s="3" t="s">
        <v>148</v>
      </c>
      <c r="C126" s="3" t="s">
        <v>17</v>
      </c>
      <c r="D126" s="3" t="s">
        <v>18</v>
      </c>
      <c r="E126" s="3">
        <v>115847</v>
      </c>
      <c r="F126" s="3">
        <v>431149</v>
      </c>
      <c r="G126" s="3" t="s">
        <v>13</v>
      </c>
      <c r="H126" s="3" t="s">
        <v>14</v>
      </c>
      <c r="I126" s="3">
        <v>496</v>
      </c>
      <c r="J126" s="5" t="s">
        <v>24</v>
      </c>
      <c r="K126" s="3" t="str">
        <f t="shared" si="1"/>
        <v>Eligible</v>
      </c>
    </row>
    <row r="127" spans="1:11" x14ac:dyDescent="0.35">
      <c r="A127" s="4">
        <v>126</v>
      </c>
      <c r="B127" s="3" t="s">
        <v>149</v>
      </c>
      <c r="C127" s="3" t="s">
        <v>17</v>
      </c>
      <c r="D127" s="3" t="s">
        <v>21</v>
      </c>
      <c r="E127" s="3">
        <v>53589</v>
      </c>
      <c r="F127" s="3">
        <v>206639</v>
      </c>
      <c r="G127" s="3" t="s">
        <v>22</v>
      </c>
      <c r="H127" s="3" t="s">
        <v>23</v>
      </c>
      <c r="I127" s="3">
        <v>665</v>
      </c>
      <c r="J127" s="5" t="s">
        <v>32</v>
      </c>
      <c r="K127" s="3" t="str">
        <f t="shared" si="1"/>
        <v>Review</v>
      </c>
    </row>
    <row r="128" spans="1:11" x14ac:dyDescent="0.35">
      <c r="A128" s="4">
        <v>127</v>
      </c>
      <c r="B128" s="3" t="s">
        <v>150</v>
      </c>
      <c r="C128" s="3" t="s">
        <v>11</v>
      </c>
      <c r="D128" s="3" t="s">
        <v>18</v>
      </c>
      <c r="E128" s="3">
        <v>79113</v>
      </c>
      <c r="F128" s="3">
        <v>301194</v>
      </c>
      <c r="G128" s="3" t="s">
        <v>22</v>
      </c>
      <c r="H128" s="3" t="s">
        <v>23</v>
      </c>
      <c r="I128" s="3">
        <v>698</v>
      </c>
      <c r="J128" s="5" t="s">
        <v>32</v>
      </c>
      <c r="K128" s="3" t="str">
        <f t="shared" si="1"/>
        <v>Review</v>
      </c>
    </row>
    <row r="129" spans="1:11" x14ac:dyDescent="0.35">
      <c r="A129" s="4">
        <v>128</v>
      </c>
      <c r="B129" s="3" t="s">
        <v>151</v>
      </c>
      <c r="C129" s="3" t="s">
        <v>17</v>
      </c>
      <c r="D129" s="3" t="s">
        <v>12</v>
      </c>
      <c r="E129" s="3">
        <v>30834</v>
      </c>
      <c r="F129" s="3">
        <v>451940</v>
      </c>
      <c r="G129" s="3" t="s">
        <v>13</v>
      </c>
      <c r="H129" s="3" t="s">
        <v>14</v>
      </c>
      <c r="I129" s="3">
        <v>794</v>
      </c>
      <c r="J129" s="5" t="s">
        <v>32</v>
      </c>
      <c r="K129" s="3" t="str">
        <f t="shared" si="1"/>
        <v>Review</v>
      </c>
    </row>
    <row r="130" spans="1:11" x14ac:dyDescent="0.35">
      <c r="A130" s="4">
        <v>129</v>
      </c>
      <c r="B130" s="3" t="s">
        <v>152</v>
      </c>
      <c r="C130" s="3" t="s">
        <v>17</v>
      </c>
      <c r="D130" s="3" t="s">
        <v>18</v>
      </c>
      <c r="E130" s="3">
        <v>72043</v>
      </c>
      <c r="F130" s="3">
        <v>118719</v>
      </c>
      <c r="G130" s="3" t="s">
        <v>22</v>
      </c>
      <c r="H130" s="3" t="s">
        <v>14</v>
      </c>
      <c r="I130" s="3">
        <v>671</v>
      </c>
      <c r="J130" s="5" t="s">
        <v>32</v>
      </c>
      <c r="K130" s="3" t="str">
        <f t="shared" ref="K130:K193" si="2">IF(AND(E130&gt;50000,G130="Approved"),"Eligible","Review")</f>
        <v>Review</v>
      </c>
    </row>
    <row r="131" spans="1:11" x14ac:dyDescent="0.35">
      <c r="A131" s="4">
        <v>130</v>
      </c>
      <c r="B131" s="3" t="s">
        <v>153</v>
      </c>
      <c r="C131" s="3" t="s">
        <v>17</v>
      </c>
      <c r="D131" s="3" t="s">
        <v>18</v>
      </c>
      <c r="E131" s="3">
        <v>34673</v>
      </c>
      <c r="F131" s="3">
        <v>277943</v>
      </c>
      <c r="G131" s="3" t="s">
        <v>22</v>
      </c>
      <c r="H131" s="3" t="s">
        <v>26</v>
      </c>
      <c r="I131" s="3">
        <v>627</v>
      </c>
      <c r="J131" s="5" t="s">
        <v>24</v>
      </c>
      <c r="K131" s="3" t="str">
        <f t="shared" si="2"/>
        <v>Review</v>
      </c>
    </row>
    <row r="132" spans="1:11" x14ac:dyDescent="0.35">
      <c r="A132" s="4">
        <v>131</v>
      </c>
      <c r="B132" s="3" t="s">
        <v>154</v>
      </c>
      <c r="C132" s="3" t="s">
        <v>11</v>
      </c>
      <c r="D132" s="3" t="s">
        <v>21</v>
      </c>
      <c r="E132" s="3">
        <v>95428</v>
      </c>
      <c r="F132" s="3">
        <v>340536</v>
      </c>
      <c r="G132" s="3" t="s">
        <v>22</v>
      </c>
      <c r="H132" s="3" t="s">
        <v>14</v>
      </c>
      <c r="I132" s="3">
        <v>798</v>
      </c>
      <c r="J132" s="5" t="s">
        <v>15</v>
      </c>
      <c r="K132" s="3" t="str">
        <f t="shared" si="2"/>
        <v>Review</v>
      </c>
    </row>
    <row r="133" spans="1:11" x14ac:dyDescent="0.35">
      <c r="A133" s="4">
        <v>132</v>
      </c>
      <c r="B133" s="3" t="s">
        <v>155</v>
      </c>
      <c r="C133" s="3" t="s">
        <v>17</v>
      </c>
      <c r="D133" s="3" t="s">
        <v>21</v>
      </c>
      <c r="E133" s="3">
        <v>112234</v>
      </c>
      <c r="F133" s="3">
        <v>39424</v>
      </c>
      <c r="G133" s="3" t="s">
        <v>22</v>
      </c>
      <c r="H133" s="3" t="s">
        <v>19</v>
      </c>
      <c r="I133" s="3">
        <v>723</v>
      </c>
      <c r="J133" s="5" t="s">
        <v>32</v>
      </c>
      <c r="K133" s="3" t="str">
        <f t="shared" si="2"/>
        <v>Review</v>
      </c>
    </row>
    <row r="134" spans="1:11" x14ac:dyDescent="0.35">
      <c r="A134" s="4">
        <v>133</v>
      </c>
      <c r="B134" s="3" t="s">
        <v>156</v>
      </c>
      <c r="C134" s="3" t="s">
        <v>11</v>
      </c>
      <c r="D134" s="3" t="s">
        <v>21</v>
      </c>
      <c r="E134" s="3">
        <v>90128</v>
      </c>
      <c r="F134" s="3">
        <v>275061</v>
      </c>
      <c r="G134" s="3" t="s">
        <v>22</v>
      </c>
      <c r="H134" s="3" t="s">
        <v>19</v>
      </c>
      <c r="I134" s="3">
        <v>637</v>
      </c>
      <c r="J134" s="5" t="s">
        <v>15</v>
      </c>
      <c r="K134" s="3" t="str">
        <f t="shared" si="2"/>
        <v>Review</v>
      </c>
    </row>
    <row r="135" spans="1:11" x14ac:dyDescent="0.35">
      <c r="A135" s="4">
        <v>134</v>
      </c>
      <c r="B135" s="3" t="s">
        <v>157</v>
      </c>
      <c r="C135" s="3" t="s">
        <v>11</v>
      </c>
      <c r="D135" s="3" t="s">
        <v>21</v>
      </c>
      <c r="E135" s="3">
        <v>41494</v>
      </c>
      <c r="F135" s="3">
        <v>108609</v>
      </c>
      <c r="G135" s="3" t="s">
        <v>13</v>
      </c>
      <c r="H135" s="3" t="s">
        <v>23</v>
      </c>
      <c r="I135" s="3">
        <v>678</v>
      </c>
      <c r="J135" s="5" t="s">
        <v>32</v>
      </c>
      <c r="K135" s="3" t="str">
        <f t="shared" si="2"/>
        <v>Review</v>
      </c>
    </row>
    <row r="136" spans="1:11" x14ac:dyDescent="0.35">
      <c r="A136" s="4">
        <v>135</v>
      </c>
      <c r="B136" s="3" t="s">
        <v>158</v>
      </c>
      <c r="C136" s="3" t="s">
        <v>11</v>
      </c>
      <c r="D136" s="3" t="s">
        <v>18</v>
      </c>
      <c r="E136" s="3">
        <v>26697</v>
      </c>
      <c r="F136" s="3">
        <v>132887</v>
      </c>
      <c r="G136" s="3" t="s">
        <v>22</v>
      </c>
      <c r="H136" s="3" t="s">
        <v>19</v>
      </c>
      <c r="I136" s="3">
        <v>327</v>
      </c>
      <c r="J136" s="5" t="s">
        <v>32</v>
      </c>
      <c r="K136" s="3" t="str">
        <f t="shared" si="2"/>
        <v>Review</v>
      </c>
    </row>
    <row r="137" spans="1:11" x14ac:dyDescent="0.35">
      <c r="A137" s="4">
        <v>136</v>
      </c>
      <c r="B137" s="3" t="s">
        <v>159</v>
      </c>
      <c r="C137" s="3" t="s">
        <v>17</v>
      </c>
      <c r="D137" s="3" t="s">
        <v>18</v>
      </c>
      <c r="E137" s="3">
        <v>57914</v>
      </c>
      <c r="F137" s="3">
        <v>63395</v>
      </c>
      <c r="G137" s="3" t="s">
        <v>13</v>
      </c>
      <c r="H137" s="3" t="s">
        <v>23</v>
      </c>
      <c r="I137" s="3">
        <v>791</v>
      </c>
      <c r="J137" s="5" t="s">
        <v>32</v>
      </c>
      <c r="K137" s="3" t="str">
        <f t="shared" si="2"/>
        <v>Eligible</v>
      </c>
    </row>
    <row r="138" spans="1:11" x14ac:dyDescent="0.35">
      <c r="A138" s="4">
        <v>137</v>
      </c>
      <c r="B138" s="3" t="s">
        <v>160</v>
      </c>
      <c r="C138" s="3" t="s">
        <v>11</v>
      </c>
      <c r="D138" s="3" t="s">
        <v>18</v>
      </c>
      <c r="E138" s="3">
        <v>59671</v>
      </c>
      <c r="F138" s="3">
        <v>206485</v>
      </c>
      <c r="G138" s="3" t="s">
        <v>13</v>
      </c>
      <c r="H138" s="3" t="s">
        <v>26</v>
      </c>
      <c r="I138" s="3">
        <v>707</v>
      </c>
      <c r="J138" s="5" t="s">
        <v>24</v>
      </c>
      <c r="K138" s="3" t="str">
        <f t="shared" si="2"/>
        <v>Eligible</v>
      </c>
    </row>
    <row r="139" spans="1:11" x14ac:dyDescent="0.35">
      <c r="A139" s="4">
        <v>138</v>
      </c>
      <c r="B139" s="3" t="s">
        <v>161</v>
      </c>
      <c r="C139" s="3" t="s">
        <v>11</v>
      </c>
      <c r="D139" s="3" t="s">
        <v>12</v>
      </c>
      <c r="E139" s="3">
        <v>59121</v>
      </c>
      <c r="F139" s="3">
        <v>293103</v>
      </c>
      <c r="G139" s="3" t="s">
        <v>13</v>
      </c>
      <c r="H139" s="3" t="s">
        <v>14</v>
      </c>
      <c r="I139" s="3">
        <v>442</v>
      </c>
      <c r="J139" s="5" t="s">
        <v>24</v>
      </c>
      <c r="K139" s="3" t="str">
        <f t="shared" si="2"/>
        <v>Eligible</v>
      </c>
    </row>
    <row r="140" spans="1:11" x14ac:dyDescent="0.35">
      <c r="A140" s="4">
        <v>139</v>
      </c>
      <c r="B140" s="3" t="s">
        <v>162</v>
      </c>
      <c r="C140" s="3" t="s">
        <v>11</v>
      </c>
      <c r="D140" s="3" t="s">
        <v>18</v>
      </c>
      <c r="E140" s="3">
        <v>43662</v>
      </c>
      <c r="F140" s="3">
        <v>273219</v>
      </c>
      <c r="G140" s="3" t="s">
        <v>22</v>
      </c>
      <c r="H140" s="3" t="s">
        <v>19</v>
      </c>
      <c r="I140" s="3">
        <v>563</v>
      </c>
      <c r="J140" s="5" t="s">
        <v>32</v>
      </c>
      <c r="K140" s="3" t="str">
        <f t="shared" si="2"/>
        <v>Review</v>
      </c>
    </row>
    <row r="141" spans="1:11" x14ac:dyDescent="0.35">
      <c r="A141" s="4">
        <v>140</v>
      </c>
      <c r="B141" s="3" t="s">
        <v>163</v>
      </c>
      <c r="C141" s="3" t="s">
        <v>17</v>
      </c>
      <c r="D141" s="3" t="s">
        <v>12</v>
      </c>
      <c r="E141" s="3">
        <v>109872</v>
      </c>
      <c r="F141" s="3">
        <v>126381</v>
      </c>
      <c r="G141" s="3" t="s">
        <v>22</v>
      </c>
      <c r="H141" s="3" t="s">
        <v>26</v>
      </c>
      <c r="I141" s="3">
        <v>795</v>
      </c>
      <c r="J141" s="5" t="s">
        <v>32</v>
      </c>
      <c r="K141" s="3" t="str">
        <f t="shared" si="2"/>
        <v>Review</v>
      </c>
    </row>
    <row r="142" spans="1:11" x14ac:dyDescent="0.35">
      <c r="A142" s="4">
        <v>141</v>
      </c>
      <c r="B142" s="3" t="s">
        <v>164</v>
      </c>
      <c r="C142" s="3" t="s">
        <v>17</v>
      </c>
      <c r="D142" s="3" t="s">
        <v>12</v>
      </c>
      <c r="E142" s="3">
        <v>100695</v>
      </c>
      <c r="F142" s="3">
        <v>412280</v>
      </c>
      <c r="G142" s="3" t="s">
        <v>13</v>
      </c>
      <c r="H142" s="3" t="s">
        <v>26</v>
      </c>
      <c r="I142" s="3">
        <v>703</v>
      </c>
      <c r="J142" s="5" t="s">
        <v>15</v>
      </c>
      <c r="K142" s="3" t="str">
        <f t="shared" si="2"/>
        <v>Eligible</v>
      </c>
    </row>
    <row r="143" spans="1:11" x14ac:dyDescent="0.35">
      <c r="A143" s="4">
        <v>142</v>
      </c>
      <c r="B143" s="3" t="s">
        <v>165</v>
      </c>
      <c r="C143" s="3" t="s">
        <v>17</v>
      </c>
      <c r="D143" s="3" t="s">
        <v>21</v>
      </c>
      <c r="E143" s="3">
        <v>42924</v>
      </c>
      <c r="F143" s="3">
        <v>194214</v>
      </c>
      <c r="G143" s="3" t="s">
        <v>22</v>
      </c>
      <c r="H143" s="3" t="s">
        <v>14</v>
      </c>
      <c r="I143" s="3">
        <v>768</v>
      </c>
      <c r="J143" s="5" t="s">
        <v>15</v>
      </c>
      <c r="K143" s="3" t="str">
        <f t="shared" si="2"/>
        <v>Review</v>
      </c>
    </row>
    <row r="144" spans="1:11" x14ac:dyDescent="0.35">
      <c r="A144" s="4">
        <v>143</v>
      </c>
      <c r="B144" s="3" t="s">
        <v>166</v>
      </c>
      <c r="C144" s="3" t="s">
        <v>11</v>
      </c>
      <c r="D144" s="3" t="s">
        <v>12</v>
      </c>
      <c r="E144" s="3">
        <v>49265</v>
      </c>
      <c r="F144" s="3">
        <v>50421</v>
      </c>
      <c r="G144" s="3" t="s">
        <v>13</v>
      </c>
      <c r="H144" s="3" t="s">
        <v>26</v>
      </c>
      <c r="I144" s="3">
        <v>375</v>
      </c>
      <c r="J144" s="5" t="s">
        <v>24</v>
      </c>
      <c r="K144" s="3" t="str">
        <f t="shared" si="2"/>
        <v>Review</v>
      </c>
    </row>
    <row r="145" spans="1:11" x14ac:dyDescent="0.35">
      <c r="A145" s="4">
        <v>144</v>
      </c>
      <c r="B145" s="3" t="s">
        <v>167</v>
      </c>
      <c r="C145" s="3" t="s">
        <v>11</v>
      </c>
      <c r="D145" s="3" t="s">
        <v>12</v>
      </c>
      <c r="E145" s="3">
        <v>44243</v>
      </c>
      <c r="F145" s="3">
        <v>490790</v>
      </c>
      <c r="G145" s="3" t="s">
        <v>13</v>
      </c>
      <c r="H145" s="3" t="s">
        <v>14</v>
      </c>
      <c r="I145" s="3">
        <v>666</v>
      </c>
      <c r="J145" s="5" t="s">
        <v>32</v>
      </c>
      <c r="K145" s="3" t="str">
        <f t="shared" si="2"/>
        <v>Review</v>
      </c>
    </row>
    <row r="146" spans="1:11" x14ac:dyDescent="0.35">
      <c r="A146" s="4">
        <v>145</v>
      </c>
      <c r="B146" s="3" t="s">
        <v>168</v>
      </c>
      <c r="C146" s="3" t="s">
        <v>11</v>
      </c>
      <c r="D146" s="3" t="s">
        <v>21</v>
      </c>
      <c r="E146" s="3">
        <v>29369</v>
      </c>
      <c r="F146" s="3">
        <v>140179</v>
      </c>
      <c r="G146" s="3" t="s">
        <v>22</v>
      </c>
      <c r="H146" s="3" t="s">
        <v>19</v>
      </c>
      <c r="I146" s="3">
        <v>815</v>
      </c>
      <c r="J146" s="5" t="s">
        <v>32</v>
      </c>
      <c r="K146" s="3" t="str">
        <f t="shared" si="2"/>
        <v>Review</v>
      </c>
    </row>
    <row r="147" spans="1:11" x14ac:dyDescent="0.35">
      <c r="A147" s="4">
        <v>146</v>
      </c>
      <c r="B147" s="3" t="s">
        <v>169</v>
      </c>
      <c r="C147" s="3" t="s">
        <v>11</v>
      </c>
      <c r="D147" s="3" t="s">
        <v>12</v>
      </c>
      <c r="E147" s="3">
        <v>72954</v>
      </c>
      <c r="F147" s="3">
        <v>193772</v>
      </c>
      <c r="G147" s="3" t="s">
        <v>22</v>
      </c>
      <c r="H147" s="3" t="s">
        <v>19</v>
      </c>
      <c r="I147" s="3">
        <v>547</v>
      </c>
      <c r="J147" s="5" t="s">
        <v>24</v>
      </c>
      <c r="K147" s="3" t="str">
        <f t="shared" si="2"/>
        <v>Review</v>
      </c>
    </row>
    <row r="148" spans="1:11" x14ac:dyDescent="0.35">
      <c r="A148" s="4">
        <v>147</v>
      </c>
      <c r="B148" s="3" t="s">
        <v>170</v>
      </c>
      <c r="C148" s="3" t="s">
        <v>17</v>
      </c>
      <c r="D148" s="3" t="s">
        <v>12</v>
      </c>
      <c r="E148" s="3">
        <v>22872</v>
      </c>
      <c r="F148" s="3">
        <v>31389</v>
      </c>
      <c r="G148" s="3" t="s">
        <v>22</v>
      </c>
      <c r="H148" s="3" t="s">
        <v>14</v>
      </c>
      <c r="I148" s="3">
        <v>627</v>
      </c>
      <c r="J148" s="5" t="s">
        <v>32</v>
      </c>
      <c r="K148" s="3" t="str">
        <f t="shared" si="2"/>
        <v>Review</v>
      </c>
    </row>
    <row r="149" spans="1:11" x14ac:dyDescent="0.35">
      <c r="A149" s="4">
        <v>148</v>
      </c>
      <c r="B149" s="3" t="s">
        <v>171</v>
      </c>
      <c r="C149" s="3" t="s">
        <v>11</v>
      </c>
      <c r="D149" s="3" t="s">
        <v>21</v>
      </c>
      <c r="E149" s="3">
        <v>112279</v>
      </c>
      <c r="F149" s="3">
        <v>146356</v>
      </c>
      <c r="G149" s="3" t="s">
        <v>22</v>
      </c>
      <c r="H149" s="3" t="s">
        <v>26</v>
      </c>
      <c r="I149" s="3">
        <v>833</v>
      </c>
      <c r="J149" s="5" t="s">
        <v>32</v>
      </c>
      <c r="K149" s="3" t="str">
        <f t="shared" si="2"/>
        <v>Review</v>
      </c>
    </row>
    <row r="150" spans="1:11" x14ac:dyDescent="0.35">
      <c r="A150" s="4">
        <v>149</v>
      </c>
      <c r="B150" s="3" t="s">
        <v>172</v>
      </c>
      <c r="C150" s="3" t="s">
        <v>17</v>
      </c>
      <c r="D150" s="3" t="s">
        <v>12</v>
      </c>
      <c r="E150" s="3">
        <v>104542</v>
      </c>
      <c r="F150" s="3">
        <v>24205</v>
      </c>
      <c r="G150" s="3" t="s">
        <v>13</v>
      </c>
      <c r="H150" s="3" t="s">
        <v>14</v>
      </c>
      <c r="I150" s="3">
        <v>659</v>
      </c>
      <c r="J150" s="5" t="s">
        <v>15</v>
      </c>
      <c r="K150" s="3" t="str">
        <f t="shared" si="2"/>
        <v>Eligible</v>
      </c>
    </row>
    <row r="151" spans="1:11" x14ac:dyDescent="0.35">
      <c r="A151" s="4">
        <v>150</v>
      </c>
      <c r="B151" s="3" t="s">
        <v>173</v>
      </c>
      <c r="C151" s="3" t="s">
        <v>11</v>
      </c>
      <c r="D151" s="3" t="s">
        <v>18</v>
      </c>
      <c r="E151" s="3">
        <v>102047</v>
      </c>
      <c r="F151" s="3">
        <v>382255</v>
      </c>
      <c r="G151" s="3" t="s">
        <v>13</v>
      </c>
      <c r="H151" s="3" t="s">
        <v>19</v>
      </c>
      <c r="I151" s="3">
        <v>829</v>
      </c>
      <c r="J151" s="5" t="s">
        <v>24</v>
      </c>
      <c r="K151" s="3" t="str">
        <f t="shared" si="2"/>
        <v>Eligible</v>
      </c>
    </row>
    <row r="152" spans="1:11" x14ac:dyDescent="0.35">
      <c r="A152" s="4">
        <v>151</v>
      </c>
      <c r="B152" s="3" t="s">
        <v>174</v>
      </c>
      <c r="C152" s="3" t="s">
        <v>11</v>
      </c>
      <c r="D152" s="3" t="s">
        <v>18</v>
      </c>
      <c r="E152" s="3">
        <v>86344</v>
      </c>
      <c r="F152" s="3">
        <v>60297</v>
      </c>
      <c r="G152" s="3" t="s">
        <v>22</v>
      </c>
      <c r="H152" s="3" t="s">
        <v>19</v>
      </c>
      <c r="I152" s="3">
        <v>613</v>
      </c>
      <c r="J152" s="5" t="s">
        <v>32</v>
      </c>
      <c r="K152" s="3" t="str">
        <f t="shared" si="2"/>
        <v>Review</v>
      </c>
    </row>
    <row r="153" spans="1:11" x14ac:dyDescent="0.35">
      <c r="A153" s="4">
        <v>152</v>
      </c>
      <c r="B153" s="3" t="s">
        <v>175</v>
      </c>
      <c r="C153" s="3" t="s">
        <v>17</v>
      </c>
      <c r="D153" s="3" t="s">
        <v>18</v>
      </c>
      <c r="E153" s="3">
        <v>37683</v>
      </c>
      <c r="F153" s="3">
        <v>493894</v>
      </c>
      <c r="G153" s="3" t="s">
        <v>13</v>
      </c>
      <c r="H153" s="3" t="s">
        <v>23</v>
      </c>
      <c r="I153" s="3">
        <v>321</v>
      </c>
      <c r="J153" s="5" t="s">
        <v>32</v>
      </c>
      <c r="K153" s="3" t="str">
        <f t="shared" si="2"/>
        <v>Review</v>
      </c>
    </row>
    <row r="154" spans="1:11" x14ac:dyDescent="0.35">
      <c r="A154" s="4">
        <v>153</v>
      </c>
      <c r="B154" s="3" t="s">
        <v>176</v>
      </c>
      <c r="C154" s="3" t="s">
        <v>17</v>
      </c>
      <c r="D154" s="3" t="s">
        <v>21</v>
      </c>
      <c r="E154" s="3">
        <v>114436</v>
      </c>
      <c r="F154" s="3">
        <v>203806</v>
      </c>
      <c r="G154" s="3" t="s">
        <v>22</v>
      </c>
      <c r="H154" s="3" t="s">
        <v>14</v>
      </c>
      <c r="I154" s="3">
        <v>537</v>
      </c>
      <c r="J154" s="5" t="s">
        <v>24</v>
      </c>
      <c r="K154" s="3" t="str">
        <f t="shared" si="2"/>
        <v>Review</v>
      </c>
    </row>
    <row r="155" spans="1:11" x14ac:dyDescent="0.35">
      <c r="A155" s="4">
        <v>154</v>
      </c>
      <c r="B155" s="3" t="s">
        <v>177</v>
      </c>
      <c r="C155" s="3" t="s">
        <v>17</v>
      </c>
      <c r="D155" s="3" t="s">
        <v>12</v>
      </c>
      <c r="E155" s="3">
        <v>60057</v>
      </c>
      <c r="F155" s="3">
        <v>444971</v>
      </c>
      <c r="G155" s="3" t="s">
        <v>13</v>
      </c>
      <c r="H155" s="3" t="s">
        <v>26</v>
      </c>
      <c r="I155" s="3">
        <v>694</v>
      </c>
      <c r="J155" s="5" t="s">
        <v>32</v>
      </c>
      <c r="K155" s="3" t="str">
        <f t="shared" si="2"/>
        <v>Eligible</v>
      </c>
    </row>
    <row r="156" spans="1:11" x14ac:dyDescent="0.35">
      <c r="A156" s="4">
        <v>155</v>
      </c>
      <c r="B156" s="3" t="s">
        <v>178</v>
      </c>
      <c r="C156" s="3" t="s">
        <v>11</v>
      </c>
      <c r="D156" s="3" t="s">
        <v>12</v>
      </c>
      <c r="E156" s="3">
        <v>106295</v>
      </c>
      <c r="F156" s="3">
        <v>8934</v>
      </c>
      <c r="G156" s="3" t="s">
        <v>22</v>
      </c>
      <c r="H156" s="3" t="s">
        <v>19</v>
      </c>
      <c r="I156" s="3">
        <v>508</v>
      </c>
      <c r="J156" s="5" t="s">
        <v>24</v>
      </c>
      <c r="K156" s="3" t="str">
        <f t="shared" si="2"/>
        <v>Review</v>
      </c>
    </row>
    <row r="157" spans="1:11" x14ac:dyDescent="0.35">
      <c r="A157" s="4">
        <v>156</v>
      </c>
      <c r="B157" s="3" t="s">
        <v>179</v>
      </c>
      <c r="C157" s="3" t="s">
        <v>17</v>
      </c>
      <c r="D157" s="3" t="s">
        <v>18</v>
      </c>
      <c r="E157" s="3">
        <v>105365</v>
      </c>
      <c r="F157" s="3">
        <v>130041</v>
      </c>
      <c r="G157" s="3" t="s">
        <v>13</v>
      </c>
      <c r="H157" s="3" t="s">
        <v>14</v>
      </c>
      <c r="I157" s="3">
        <v>510</v>
      </c>
      <c r="J157" s="5" t="s">
        <v>24</v>
      </c>
      <c r="K157" s="3" t="str">
        <f t="shared" si="2"/>
        <v>Eligible</v>
      </c>
    </row>
    <row r="158" spans="1:11" x14ac:dyDescent="0.35">
      <c r="A158" s="4">
        <v>157</v>
      </c>
      <c r="B158" s="3" t="s">
        <v>180</v>
      </c>
      <c r="C158" s="3" t="s">
        <v>17</v>
      </c>
      <c r="D158" s="3" t="s">
        <v>18</v>
      </c>
      <c r="E158" s="3">
        <v>77910</v>
      </c>
      <c r="F158" s="3">
        <v>201706</v>
      </c>
      <c r="G158" s="3" t="s">
        <v>22</v>
      </c>
      <c r="H158" s="3" t="s">
        <v>26</v>
      </c>
      <c r="I158" s="3">
        <v>898</v>
      </c>
      <c r="J158" s="5" t="s">
        <v>15</v>
      </c>
      <c r="K158" s="3" t="str">
        <f t="shared" si="2"/>
        <v>Review</v>
      </c>
    </row>
    <row r="159" spans="1:11" x14ac:dyDescent="0.35">
      <c r="A159" s="4">
        <v>158</v>
      </c>
      <c r="B159" s="3" t="s">
        <v>181</v>
      </c>
      <c r="C159" s="3" t="s">
        <v>17</v>
      </c>
      <c r="D159" s="3" t="s">
        <v>21</v>
      </c>
      <c r="E159" s="3">
        <v>28038</v>
      </c>
      <c r="F159" s="3">
        <v>424021</v>
      </c>
      <c r="G159" s="3" t="s">
        <v>22</v>
      </c>
      <c r="H159" s="3" t="s">
        <v>19</v>
      </c>
      <c r="I159" s="3">
        <v>659</v>
      </c>
      <c r="J159" s="5" t="s">
        <v>32</v>
      </c>
      <c r="K159" s="3" t="str">
        <f t="shared" si="2"/>
        <v>Review</v>
      </c>
    </row>
    <row r="160" spans="1:11" x14ac:dyDescent="0.35">
      <c r="A160" s="4">
        <v>159</v>
      </c>
      <c r="B160" s="3" t="s">
        <v>182</v>
      </c>
      <c r="C160" s="3" t="s">
        <v>11</v>
      </c>
      <c r="D160" s="3" t="s">
        <v>12</v>
      </c>
      <c r="E160" s="3">
        <v>61218</v>
      </c>
      <c r="F160" s="3">
        <v>6175</v>
      </c>
      <c r="G160" s="3" t="s">
        <v>13</v>
      </c>
      <c r="H160" s="3" t="s">
        <v>14</v>
      </c>
      <c r="I160" s="3">
        <v>321</v>
      </c>
      <c r="J160" s="5" t="s">
        <v>32</v>
      </c>
      <c r="K160" s="3" t="str">
        <f t="shared" si="2"/>
        <v>Eligible</v>
      </c>
    </row>
    <row r="161" spans="1:11" x14ac:dyDescent="0.35">
      <c r="A161" s="4">
        <v>160</v>
      </c>
      <c r="B161" s="3" t="s">
        <v>183</v>
      </c>
      <c r="C161" s="3" t="s">
        <v>17</v>
      </c>
      <c r="D161" s="3" t="s">
        <v>21</v>
      </c>
      <c r="E161" s="3">
        <v>104634</v>
      </c>
      <c r="F161" s="3">
        <v>287012</v>
      </c>
      <c r="G161" s="3" t="s">
        <v>22</v>
      </c>
      <c r="H161" s="3" t="s">
        <v>14</v>
      </c>
      <c r="I161" s="3">
        <v>505</v>
      </c>
      <c r="J161" s="5" t="s">
        <v>15</v>
      </c>
      <c r="K161" s="3" t="str">
        <f t="shared" si="2"/>
        <v>Review</v>
      </c>
    </row>
    <row r="162" spans="1:11" x14ac:dyDescent="0.35">
      <c r="A162" s="4">
        <v>161</v>
      </c>
      <c r="B162" s="3" t="s">
        <v>184</v>
      </c>
      <c r="C162" s="3" t="s">
        <v>11</v>
      </c>
      <c r="D162" s="3" t="s">
        <v>12</v>
      </c>
      <c r="E162" s="3">
        <v>23703</v>
      </c>
      <c r="F162" s="3">
        <v>120081</v>
      </c>
      <c r="G162" s="3" t="s">
        <v>13</v>
      </c>
      <c r="H162" s="3" t="s">
        <v>14</v>
      </c>
      <c r="I162" s="3">
        <v>535</v>
      </c>
      <c r="J162" s="5" t="s">
        <v>32</v>
      </c>
      <c r="K162" s="3" t="str">
        <f t="shared" si="2"/>
        <v>Review</v>
      </c>
    </row>
    <row r="163" spans="1:11" x14ac:dyDescent="0.35">
      <c r="A163" s="4">
        <v>162</v>
      </c>
      <c r="B163" s="3" t="s">
        <v>185</v>
      </c>
      <c r="C163" s="3" t="s">
        <v>17</v>
      </c>
      <c r="D163" s="3" t="s">
        <v>12</v>
      </c>
      <c r="E163" s="3">
        <v>55402</v>
      </c>
      <c r="F163" s="3">
        <v>258497</v>
      </c>
      <c r="G163" s="3" t="s">
        <v>13</v>
      </c>
      <c r="H163" s="3" t="s">
        <v>19</v>
      </c>
      <c r="I163" s="3">
        <v>879</v>
      </c>
      <c r="J163" s="5" t="s">
        <v>32</v>
      </c>
      <c r="K163" s="3" t="str">
        <f t="shared" si="2"/>
        <v>Eligible</v>
      </c>
    </row>
    <row r="164" spans="1:11" x14ac:dyDescent="0.35">
      <c r="A164" s="4">
        <v>163</v>
      </c>
      <c r="B164" s="3" t="s">
        <v>186</v>
      </c>
      <c r="C164" s="3" t="s">
        <v>11</v>
      </c>
      <c r="D164" s="3" t="s">
        <v>21</v>
      </c>
      <c r="E164" s="3">
        <v>50312</v>
      </c>
      <c r="F164" s="3">
        <v>142752</v>
      </c>
      <c r="G164" s="3" t="s">
        <v>22</v>
      </c>
      <c r="H164" s="3" t="s">
        <v>26</v>
      </c>
      <c r="I164" s="3">
        <v>647</v>
      </c>
      <c r="J164" s="5" t="s">
        <v>32</v>
      </c>
      <c r="K164" s="3" t="str">
        <f t="shared" si="2"/>
        <v>Review</v>
      </c>
    </row>
    <row r="165" spans="1:11" x14ac:dyDescent="0.35">
      <c r="A165" s="4">
        <v>164</v>
      </c>
      <c r="B165" s="3" t="s">
        <v>187</v>
      </c>
      <c r="C165" s="3" t="s">
        <v>17</v>
      </c>
      <c r="D165" s="3" t="s">
        <v>18</v>
      </c>
      <c r="E165" s="3">
        <v>106443</v>
      </c>
      <c r="F165" s="3">
        <v>343996</v>
      </c>
      <c r="G165" s="3" t="s">
        <v>22</v>
      </c>
      <c r="H165" s="3" t="s">
        <v>23</v>
      </c>
      <c r="I165" s="3">
        <v>407</v>
      </c>
      <c r="J165" s="5" t="s">
        <v>15</v>
      </c>
      <c r="K165" s="3" t="str">
        <f t="shared" si="2"/>
        <v>Review</v>
      </c>
    </row>
    <row r="166" spans="1:11" x14ac:dyDescent="0.35">
      <c r="A166" s="4">
        <v>165</v>
      </c>
      <c r="B166" s="3" t="s">
        <v>188</v>
      </c>
      <c r="C166" s="3" t="s">
        <v>11</v>
      </c>
      <c r="D166" s="3" t="s">
        <v>18</v>
      </c>
      <c r="E166" s="3">
        <v>26569</v>
      </c>
      <c r="F166" s="3">
        <v>125220</v>
      </c>
      <c r="G166" s="3" t="s">
        <v>13</v>
      </c>
      <c r="H166" s="3" t="s">
        <v>23</v>
      </c>
      <c r="I166" s="3">
        <v>712</v>
      </c>
      <c r="J166" s="5" t="s">
        <v>15</v>
      </c>
      <c r="K166" s="3" t="str">
        <f t="shared" si="2"/>
        <v>Review</v>
      </c>
    </row>
    <row r="167" spans="1:11" x14ac:dyDescent="0.35">
      <c r="A167" s="4">
        <v>166</v>
      </c>
      <c r="B167" s="3" t="s">
        <v>189</v>
      </c>
      <c r="C167" s="3" t="s">
        <v>11</v>
      </c>
      <c r="D167" s="3" t="s">
        <v>18</v>
      </c>
      <c r="E167" s="3">
        <v>45329</v>
      </c>
      <c r="F167" s="3">
        <v>135345</v>
      </c>
      <c r="G167" s="3" t="s">
        <v>22</v>
      </c>
      <c r="H167" s="3" t="s">
        <v>19</v>
      </c>
      <c r="I167" s="3">
        <v>694</v>
      </c>
      <c r="J167" s="5" t="s">
        <v>32</v>
      </c>
      <c r="K167" s="3" t="str">
        <f t="shared" si="2"/>
        <v>Review</v>
      </c>
    </row>
    <row r="168" spans="1:11" x14ac:dyDescent="0.35">
      <c r="A168" s="4">
        <v>167</v>
      </c>
      <c r="B168" s="3" t="s">
        <v>190</v>
      </c>
      <c r="C168" s="3" t="s">
        <v>11</v>
      </c>
      <c r="D168" s="3" t="s">
        <v>18</v>
      </c>
      <c r="E168" s="3">
        <v>58084</v>
      </c>
      <c r="F168" s="3">
        <v>478617</v>
      </c>
      <c r="G168" s="3" t="s">
        <v>13</v>
      </c>
      <c r="H168" s="3" t="s">
        <v>19</v>
      </c>
      <c r="I168" s="3">
        <v>445</v>
      </c>
      <c r="J168" s="5" t="s">
        <v>24</v>
      </c>
      <c r="K168" s="3" t="str">
        <f t="shared" si="2"/>
        <v>Eligible</v>
      </c>
    </row>
    <row r="169" spans="1:11" x14ac:dyDescent="0.35">
      <c r="A169" s="4">
        <v>168</v>
      </c>
      <c r="B169" s="3" t="s">
        <v>191</v>
      </c>
      <c r="C169" s="3" t="s">
        <v>11</v>
      </c>
      <c r="D169" s="3" t="s">
        <v>18</v>
      </c>
      <c r="E169" s="3">
        <v>48825</v>
      </c>
      <c r="F169" s="3">
        <v>353104</v>
      </c>
      <c r="G169" s="3" t="s">
        <v>13</v>
      </c>
      <c r="H169" s="3" t="s">
        <v>26</v>
      </c>
      <c r="I169" s="3">
        <v>455</v>
      </c>
      <c r="J169" s="5" t="s">
        <v>32</v>
      </c>
      <c r="K169" s="3" t="str">
        <f t="shared" si="2"/>
        <v>Review</v>
      </c>
    </row>
    <row r="170" spans="1:11" x14ac:dyDescent="0.35">
      <c r="A170" s="4">
        <v>169</v>
      </c>
      <c r="B170" s="3" t="s">
        <v>192</v>
      </c>
      <c r="C170" s="3" t="s">
        <v>11</v>
      </c>
      <c r="D170" s="3" t="s">
        <v>21</v>
      </c>
      <c r="E170" s="3">
        <v>47912</v>
      </c>
      <c r="F170" s="3">
        <v>216990</v>
      </c>
      <c r="G170" s="3" t="s">
        <v>22</v>
      </c>
      <c r="H170" s="3" t="s">
        <v>19</v>
      </c>
      <c r="I170" s="3">
        <v>746</v>
      </c>
      <c r="J170" s="5" t="s">
        <v>32</v>
      </c>
      <c r="K170" s="3" t="str">
        <f t="shared" si="2"/>
        <v>Review</v>
      </c>
    </row>
    <row r="171" spans="1:11" x14ac:dyDescent="0.35">
      <c r="A171" s="4">
        <v>170</v>
      </c>
      <c r="B171" s="3" t="s">
        <v>193</v>
      </c>
      <c r="C171" s="3" t="s">
        <v>17</v>
      </c>
      <c r="D171" s="3" t="s">
        <v>12</v>
      </c>
      <c r="E171" s="3">
        <v>100468</v>
      </c>
      <c r="F171" s="3">
        <v>155641</v>
      </c>
      <c r="G171" s="3" t="s">
        <v>13</v>
      </c>
      <c r="H171" s="3" t="s">
        <v>23</v>
      </c>
      <c r="I171" s="3">
        <v>485</v>
      </c>
      <c r="J171" s="5" t="s">
        <v>15</v>
      </c>
      <c r="K171" s="3" t="str">
        <f t="shared" si="2"/>
        <v>Eligible</v>
      </c>
    </row>
    <row r="172" spans="1:11" x14ac:dyDescent="0.35">
      <c r="A172" s="4">
        <v>171</v>
      </c>
      <c r="B172" s="3" t="s">
        <v>194</v>
      </c>
      <c r="C172" s="3" t="s">
        <v>17</v>
      </c>
      <c r="D172" s="3" t="s">
        <v>18</v>
      </c>
      <c r="E172" s="3">
        <v>25207</v>
      </c>
      <c r="F172" s="3">
        <v>342110</v>
      </c>
      <c r="G172" s="3" t="s">
        <v>22</v>
      </c>
      <c r="H172" s="3" t="s">
        <v>23</v>
      </c>
      <c r="I172" s="3">
        <v>897</v>
      </c>
      <c r="J172" s="5" t="s">
        <v>24</v>
      </c>
      <c r="K172" s="3" t="str">
        <f t="shared" si="2"/>
        <v>Review</v>
      </c>
    </row>
    <row r="173" spans="1:11" x14ac:dyDescent="0.35">
      <c r="A173" s="4">
        <v>172</v>
      </c>
      <c r="B173" s="3" t="s">
        <v>195</v>
      </c>
      <c r="C173" s="3" t="s">
        <v>11</v>
      </c>
      <c r="D173" s="3" t="s">
        <v>18</v>
      </c>
      <c r="E173" s="3">
        <v>45227</v>
      </c>
      <c r="F173" s="3">
        <v>106360</v>
      </c>
      <c r="G173" s="3" t="s">
        <v>13</v>
      </c>
      <c r="H173" s="3" t="s">
        <v>19</v>
      </c>
      <c r="I173" s="3">
        <v>626</v>
      </c>
      <c r="J173" s="5" t="s">
        <v>24</v>
      </c>
      <c r="K173" s="3" t="str">
        <f t="shared" si="2"/>
        <v>Review</v>
      </c>
    </row>
    <row r="174" spans="1:11" x14ac:dyDescent="0.35">
      <c r="A174" s="4">
        <v>173</v>
      </c>
      <c r="B174" s="3" t="s">
        <v>196</v>
      </c>
      <c r="C174" s="3" t="s">
        <v>11</v>
      </c>
      <c r="D174" s="3" t="s">
        <v>12</v>
      </c>
      <c r="E174" s="3">
        <v>80117</v>
      </c>
      <c r="F174" s="3">
        <v>369059</v>
      </c>
      <c r="G174" s="3" t="s">
        <v>13</v>
      </c>
      <c r="H174" s="3" t="s">
        <v>23</v>
      </c>
      <c r="I174" s="3">
        <v>374</v>
      </c>
      <c r="J174" s="5" t="s">
        <v>15</v>
      </c>
      <c r="K174" s="3" t="str">
        <f t="shared" si="2"/>
        <v>Eligible</v>
      </c>
    </row>
    <row r="175" spans="1:11" x14ac:dyDescent="0.35">
      <c r="A175" s="4">
        <v>174</v>
      </c>
      <c r="B175" s="3" t="s">
        <v>197</v>
      </c>
      <c r="C175" s="3" t="s">
        <v>17</v>
      </c>
      <c r="D175" s="3" t="s">
        <v>18</v>
      </c>
      <c r="E175" s="3">
        <v>111006</v>
      </c>
      <c r="F175" s="3">
        <v>478153</v>
      </c>
      <c r="G175" s="3" t="s">
        <v>22</v>
      </c>
      <c r="H175" s="3" t="s">
        <v>14</v>
      </c>
      <c r="I175" s="3">
        <v>899</v>
      </c>
      <c r="J175" s="5" t="s">
        <v>32</v>
      </c>
      <c r="K175" s="3" t="str">
        <f t="shared" si="2"/>
        <v>Review</v>
      </c>
    </row>
    <row r="176" spans="1:11" x14ac:dyDescent="0.35">
      <c r="A176" s="4">
        <v>175</v>
      </c>
      <c r="B176" s="3" t="s">
        <v>198</v>
      </c>
      <c r="C176" s="3" t="s">
        <v>11</v>
      </c>
      <c r="D176" s="3" t="s">
        <v>18</v>
      </c>
      <c r="E176" s="3">
        <v>30991</v>
      </c>
      <c r="F176" s="3">
        <v>257573</v>
      </c>
      <c r="G176" s="3" t="s">
        <v>22</v>
      </c>
      <c r="H176" s="3" t="s">
        <v>14</v>
      </c>
      <c r="I176" s="3">
        <v>402</v>
      </c>
      <c r="J176" s="5" t="s">
        <v>15</v>
      </c>
      <c r="K176" s="3" t="str">
        <f t="shared" si="2"/>
        <v>Review</v>
      </c>
    </row>
    <row r="177" spans="1:11" x14ac:dyDescent="0.35">
      <c r="A177" s="4">
        <v>176</v>
      </c>
      <c r="B177" s="3" t="s">
        <v>199</v>
      </c>
      <c r="C177" s="3" t="s">
        <v>11</v>
      </c>
      <c r="D177" s="3" t="s">
        <v>21</v>
      </c>
      <c r="E177" s="3">
        <v>112496</v>
      </c>
      <c r="F177" s="3">
        <v>172768</v>
      </c>
      <c r="G177" s="3" t="s">
        <v>22</v>
      </c>
      <c r="H177" s="3" t="s">
        <v>14</v>
      </c>
      <c r="I177" s="3">
        <v>310</v>
      </c>
      <c r="J177" s="5" t="s">
        <v>15</v>
      </c>
      <c r="K177" s="3" t="str">
        <f t="shared" si="2"/>
        <v>Review</v>
      </c>
    </row>
    <row r="178" spans="1:11" x14ac:dyDescent="0.35">
      <c r="A178" s="4">
        <v>177</v>
      </c>
      <c r="B178" s="3" t="s">
        <v>200</v>
      </c>
      <c r="C178" s="3" t="s">
        <v>11</v>
      </c>
      <c r="D178" s="3" t="s">
        <v>18</v>
      </c>
      <c r="E178" s="3">
        <v>67413</v>
      </c>
      <c r="F178" s="3">
        <v>436953</v>
      </c>
      <c r="G178" s="3" t="s">
        <v>22</v>
      </c>
      <c r="H178" s="3" t="s">
        <v>23</v>
      </c>
      <c r="I178" s="3">
        <v>443</v>
      </c>
      <c r="J178" s="5" t="s">
        <v>24</v>
      </c>
      <c r="K178" s="3" t="str">
        <f t="shared" si="2"/>
        <v>Review</v>
      </c>
    </row>
    <row r="179" spans="1:11" x14ac:dyDescent="0.35">
      <c r="A179" s="4">
        <v>178</v>
      </c>
      <c r="B179" s="3" t="s">
        <v>201</v>
      </c>
      <c r="C179" s="3" t="s">
        <v>11</v>
      </c>
      <c r="D179" s="3" t="s">
        <v>12</v>
      </c>
      <c r="E179" s="3">
        <v>41393</v>
      </c>
      <c r="F179" s="3">
        <v>220391</v>
      </c>
      <c r="G179" s="3" t="s">
        <v>13</v>
      </c>
      <c r="H179" s="3" t="s">
        <v>26</v>
      </c>
      <c r="I179" s="3">
        <v>799</v>
      </c>
      <c r="J179" s="5" t="s">
        <v>32</v>
      </c>
      <c r="K179" s="3" t="str">
        <f t="shared" si="2"/>
        <v>Review</v>
      </c>
    </row>
    <row r="180" spans="1:11" x14ac:dyDescent="0.35">
      <c r="A180" s="4">
        <v>179</v>
      </c>
      <c r="B180" s="3" t="s">
        <v>202</v>
      </c>
      <c r="C180" s="3" t="s">
        <v>17</v>
      </c>
      <c r="D180" s="3" t="s">
        <v>21</v>
      </c>
      <c r="E180" s="3">
        <v>79249</v>
      </c>
      <c r="F180" s="3">
        <v>486039</v>
      </c>
      <c r="G180" s="3" t="s">
        <v>22</v>
      </c>
      <c r="H180" s="3" t="s">
        <v>23</v>
      </c>
      <c r="I180" s="3">
        <v>860</v>
      </c>
      <c r="J180" s="5" t="s">
        <v>32</v>
      </c>
      <c r="K180" s="3" t="str">
        <f t="shared" si="2"/>
        <v>Review</v>
      </c>
    </row>
    <row r="181" spans="1:11" x14ac:dyDescent="0.35">
      <c r="A181" s="4">
        <v>180</v>
      </c>
      <c r="B181" s="3" t="s">
        <v>203</v>
      </c>
      <c r="C181" s="3" t="s">
        <v>11</v>
      </c>
      <c r="D181" s="3" t="s">
        <v>12</v>
      </c>
      <c r="E181" s="3">
        <v>70516</v>
      </c>
      <c r="F181" s="3">
        <v>189681</v>
      </c>
      <c r="G181" s="3" t="s">
        <v>22</v>
      </c>
      <c r="H181" s="3" t="s">
        <v>14</v>
      </c>
      <c r="I181" s="3">
        <v>516</v>
      </c>
      <c r="J181" s="5" t="s">
        <v>32</v>
      </c>
      <c r="K181" s="3" t="str">
        <f t="shared" si="2"/>
        <v>Review</v>
      </c>
    </row>
    <row r="182" spans="1:11" x14ac:dyDescent="0.35">
      <c r="A182" s="4">
        <v>181</v>
      </c>
      <c r="B182" s="3" t="s">
        <v>204</v>
      </c>
      <c r="C182" s="3" t="s">
        <v>11</v>
      </c>
      <c r="D182" s="3" t="s">
        <v>18</v>
      </c>
      <c r="E182" s="3">
        <v>65600</v>
      </c>
      <c r="F182" s="3">
        <v>438518</v>
      </c>
      <c r="G182" s="3" t="s">
        <v>13</v>
      </c>
      <c r="H182" s="3" t="s">
        <v>26</v>
      </c>
      <c r="I182" s="3">
        <v>774</v>
      </c>
      <c r="J182" s="5" t="s">
        <v>24</v>
      </c>
      <c r="K182" s="3" t="str">
        <f t="shared" si="2"/>
        <v>Eligible</v>
      </c>
    </row>
    <row r="183" spans="1:11" x14ac:dyDescent="0.35">
      <c r="A183" s="4">
        <v>182</v>
      </c>
      <c r="B183" s="3" t="s">
        <v>205</v>
      </c>
      <c r="C183" s="3" t="s">
        <v>11</v>
      </c>
      <c r="D183" s="3" t="s">
        <v>18</v>
      </c>
      <c r="E183" s="3">
        <v>73452</v>
      </c>
      <c r="F183" s="3">
        <v>239534</v>
      </c>
      <c r="G183" s="3" t="s">
        <v>13</v>
      </c>
      <c r="H183" s="3" t="s">
        <v>26</v>
      </c>
      <c r="I183" s="3">
        <v>536</v>
      </c>
      <c r="J183" s="5" t="s">
        <v>32</v>
      </c>
      <c r="K183" s="3" t="str">
        <f t="shared" si="2"/>
        <v>Eligible</v>
      </c>
    </row>
    <row r="184" spans="1:11" x14ac:dyDescent="0.35">
      <c r="A184" s="4">
        <v>183</v>
      </c>
      <c r="B184" s="3" t="s">
        <v>206</v>
      </c>
      <c r="C184" s="3" t="s">
        <v>11</v>
      </c>
      <c r="D184" s="3" t="s">
        <v>12</v>
      </c>
      <c r="E184" s="3">
        <v>37723</v>
      </c>
      <c r="F184" s="3">
        <v>298353</v>
      </c>
      <c r="G184" s="3" t="s">
        <v>13</v>
      </c>
      <c r="H184" s="3" t="s">
        <v>23</v>
      </c>
      <c r="I184" s="3">
        <v>555</v>
      </c>
      <c r="J184" s="5" t="s">
        <v>15</v>
      </c>
      <c r="K184" s="3" t="str">
        <f t="shared" si="2"/>
        <v>Review</v>
      </c>
    </row>
    <row r="185" spans="1:11" x14ac:dyDescent="0.35">
      <c r="A185" s="4">
        <v>184</v>
      </c>
      <c r="B185" s="3" t="s">
        <v>207</v>
      </c>
      <c r="C185" s="3" t="s">
        <v>11</v>
      </c>
      <c r="D185" s="3" t="s">
        <v>12</v>
      </c>
      <c r="E185" s="3">
        <v>37079</v>
      </c>
      <c r="F185" s="3">
        <v>306327</v>
      </c>
      <c r="G185" s="3" t="s">
        <v>22</v>
      </c>
      <c r="H185" s="3" t="s">
        <v>26</v>
      </c>
      <c r="I185" s="3">
        <v>542</v>
      </c>
      <c r="J185" s="5" t="s">
        <v>24</v>
      </c>
      <c r="K185" s="3" t="str">
        <f t="shared" si="2"/>
        <v>Review</v>
      </c>
    </row>
    <row r="186" spans="1:11" x14ac:dyDescent="0.35">
      <c r="A186" s="4">
        <v>185</v>
      </c>
      <c r="B186" s="3" t="s">
        <v>208</v>
      </c>
      <c r="C186" s="3" t="s">
        <v>11</v>
      </c>
      <c r="D186" s="3" t="s">
        <v>21</v>
      </c>
      <c r="E186" s="3">
        <v>64782</v>
      </c>
      <c r="F186" s="3">
        <v>327918</v>
      </c>
      <c r="G186" s="3" t="s">
        <v>13</v>
      </c>
      <c r="H186" s="3" t="s">
        <v>23</v>
      </c>
      <c r="I186" s="3">
        <v>713</v>
      </c>
      <c r="J186" s="5" t="s">
        <v>15</v>
      </c>
      <c r="K186" s="3" t="str">
        <f t="shared" si="2"/>
        <v>Eligible</v>
      </c>
    </row>
    <row r="187" spans="1:11" x14ac:dyDescent="0.35">
      <c r="A187" s="4">
        <v>186</v>
      </c>
      <c r="B187" s="3" t="s">
        <v>209</v>
      </c>
      <c r="C187" s="3" t="s">
        <v>17</v>
      </c>
      <c r="D187" s="3" t="s">
        <v>12</v>
      </c>
      <c r="E187" s="3">
        <v>44604</v>
      </c>
      <c r="F187" s="3">
        <v>164872</v>
      </c>
      <c r="G187" s="3" t="s">
        <v>13</v>
      </c>
      <c r="H187" s="3" t="s">
        <v>26</v>
      </c>
      <c r="I187" s="3">
        <v>735</v>
      </c>
      <c r="J187" s="5" t="s">
        <v>24</v>
      </c>
      <c r="K187" s="3" t="str">
        <f t="shared" si="2"/>
        <v>Review</v>
      </c>
    </row>
    <row r="188" spans="1:11" x14ac:dyDescent="0.35">
      <c r="A188" s="4">
        <v>187</v>
      </c>
      <c r="B188" s="3" t="s">
        <v>210</v>
      </c>
      <c r="C188" s="3" t="s">
        <v>17</v>
      </c>
      <c r="D188" s="3" t="s">
        <v>21</v>
      </c>
      <c r="E188" s="3">
        <v>78269</v>
      </c>
      <c r="F188" s="3">
        <v>309530</v>
      </c>
      <c r="G188" s="3" t="s">
        <v>13</v>
      </c>
      <c r="H188" s="3" t="s">
        <v>19</v>
      </c>
      <c r="I188" s="3">
        <v>755</v>
      </c>
      <c r="J188" s="5" t="s">
        <v>24</v>
      </c>
      <c r="K188" s="3" t="str">
        <f t="shared" si="2"/>
        <v>Eligible</v>
      </c>
    </row>
    <row r="189" spans="1:11" x14ac:dyDescent="0.35">
      <c r="A189" s="4">
        <v>188</v>
      </c>
      <c r="B189" s="3" t="s">
        <v>211</v>
      </c>
      <c r="C189" s="3" t="s">
        <v>17</v>
      </c>
      <c r="D189" s="3" t="s">
        <v>12</v>
      </c>
      <c r="E189" s="3">
        <v>66120</v>
      </c>
      <c r="F189" s="3">
        <v>245171</v>
      </c>
      <c r="G189" s="3" t="s">
        <v>13</v>
      </c>
      <c r="H189" s="3" t="s">
        <v>14</v>
      </c>
      <c r="I189" s="3">
        <v>857</v>
      </c>
      <c r="J189" s="5" t="s">
        <v>24</v>
      </c>
      <c r="K189" s="3" t="str">
        <f t="shared" si="2"/>
        <v>Eligible</v>
      </c>
    </row>
    <row r="190" spans="1:11" x14ac:dyDescent="0.35">
      <c r="A190" s="4">
        <v>189</v>
      </c>
      <c r="B190" s="3" t="s">
        <v>212</v>
      </c>
      <c r="C190" s="3" t="s">
        <v>17</v>
      </c>
      <c r="D190" s="3" t="s">
        <v>12</v>
      </c>
      <c r="E190" s="3">
        <v>79827</v>
      </c>
      <c r="F190" s="3">
        <v>93134</v>
      </c>
      <c r="G190" s="3" t="s">
        <v>13</v>
      </c>
      <c r="H190" s="3" t="s">
        <v>26</v>
      </c>
      <c r="I190" s="3">
        <v>501</v>
      </c>
      <c r="J190" s="5" t="s">
        <v>32</v>
      </c>
      <c r="K190" s="3" t="str">
        <f t="shared" si="2"/>
        <v>Eligible</v>
      </c>
    </row>
    <row r="191" spans="1:11" x14ac:dyDescent="0.35">
      <c r="A191" s="4">
        <v>190</v>
      </c>
      <c r="B191" s="3" t="s">
        <v>213</v>
      </c>
      <c r="C191" s="3" t="s">
        <v>17</v>
      </c>
      <c r="D191" s="3" t="s">
        <v>12</v>
      </c>
      <c r="E191" s="3">
        <v>61906</v>
      </c>
      <c r="F191" s="3">
        <v>118153</v>
      </c>
      <c r="G191" s="3" t="s">
        <v>13</v>
      </c>
      <c r="H191" s="3" t="s">
        <v>19</v>
      </c>
      <c r="I191" s="3">
        <v>761</v>
      </c>
      <c r="J191" s="5" t="s">
        <v>24</v>
      </c>
      <c r="K191" s="3" t="str">
        <f t="shared" si="2"/>
        <v>Eligible</v>
      </c>
    </row>
    <row r="192" spans="1:11" x14ac:dyDescent="0.35">
      <c r="A192" s="4">
        <v>191</v>
      </c>
      <c r="B192" s="3" t="s">
        <v>214</v>
      </c>
      <c r="C192" s="3" t="s">
        <v>17</v>
      </c>
      <c r="D192" s="3" t="s">
        <v>21</v>
      </c>
      <c r="E192" s="3">
        <v>108534</v>
      </c>
      <c r="F192" s="3">
        <v>462885</v>
      </c>
      <c r="G192" s="3" t="s">
        <v>22</v>
      </c>
      <c r="H192" s="3" t="s">
        <v>26</v>
      </c>
      <c r="I192" s="3">
        <v>636</v>
      </c>
      <c r="J192" s="5" t="s">
        <v>32</v>
      </c>
      <c r="K192" s="3" t="str">
        <f t="shared" si="2"/>
        <v>Review</v>
      </c>
    </row>
    <row r="193" spans="1:11" x14ac:dyDescent="0.35">
      <c r="A193" s="4">
        <v>192</v>
      </c>
      <c r="B193" s="3" t="s">
        <v>215</v>
      </c>
      <c r="C193" s="3" t="s">
        <v>11</v>
      </c>
      <c r="D193" s="3" t="s">
        <v>21</v>
      </c>
      <c r="E193" s="3">
        <v>107798</v>
      </c>
      <c r="F193" s="3">
        <v>13097</v>
      </c>
      <c r="G193" s="3" t="s">
        <v>13</v>
      </c>
      <c r="H193" s="3" t="s">
        <v>26</v>
      </c>
      <c r="I193" s="3">
        <v>659</v>
      </c>
      <c r="J193" s="5" t="s">
        <v>24</v>
      </c>
      <c r="K193" s="3" t="str">
        <f t="shared" si="2"/>
        <v>Eligible</v>
      </c>
    </row>
    <row r="194" spans="1:11" x14ac:dyDescent="0.35">
      <c r="A194" s="4">
        <v>193</v>
      </c>
      <c r="B194" s="3" t="s">
        <v>216</v>
      </c>
      <c r="C194" s="3" t="s">
        <v>17</v>
      </c>
      <c r="D194" s="3" t="s">
        <v>21</v>
      </c>
      <c r="E194" s="3">
        <v>116201</v>
      </c>
      <c r="F194" s="3">
        <v>91491</v>
      </c>
      <c r="G194" s="3" t="s">
        <v>13</v>
      </c>
      <c r="H194" s="3" t="s">
        <v>26</v>
      </c>
      <c r="I194" s="3">
        <v>457</v>
      </c>
      <c r="J194" s="5" t="s">
        <v>15</v>
      </c>
      <c r="K194" s="3" t="str">
        <f t="shared" ref="K194:K257" si="3">IF(AND(E194&gt;50000,G194="Approved"),"Eligible","Review")</f>
        <v>Eligible</v>
      </c>
    </row>
    <row r="195" spans="1:11" x14ac:dyDescent="0.35">
      <c r="A195" s="4">
        <v>194</v>
      </c>
      <c r="B195" s="3" t="s">
        <v>217</v>
      </c>
      <c r="C195" s="3" t="s">
        <v>17</v>
      </c>
      <c r="D195" s="3" t="s">
        <v>18</v>
      </c>
      <c r="E195" s="3">
        <v>80739</v>
      </c>
      <c r="F195" s="3">
        <v>104285</v>
      </c>
      <c r="G195" s="3" t="s">
        <v>22</v>
      </c>
      <c r="H195" s="3" t="s">
        <v>19</v>
      </c>
      <c r="I195" s="3">
        <v>343</v>
      </c>
      <c r="J195" s="5" t="s">
        <v>24</v>
      </c>
      <c r="K195" s="3" t="str">
        <f t="shared" si="3"/>
        <v>Review</v>
      </c>
    </row>
    <row r="196" spans="1:11" x14ac:dyDescent="0.35">
      <c r="A196" s="4">
        <v>195</v>
      </c>
      <c r="B196" s="3" t="s">
        <v>218</v>
      </c>
      <c r="C196" s="3" t="s">
        <v>17</v>
      </c>
      <c r="D196" s="3" t="s">
        <v>12</v>
      </c>
      <c r="E196" s="3">
        <v>93721</v>
      </c>
      <c r="F196" s="3">
        <v>435327</v>
      </c>
      <c r="G196" s="3" t="s">
        <v>13</v>
      </c>
      <c r="H196" s="3" t="s">
        <v>14</v>
      </c>
      <c r="I196" s="3">
        <v>889</v>
      </c>
      <c r="J196" s="5" t="s">
        <v>24</v>
      </c>
      <c r="K196" s="3" t="str">
        <f t="shared" si="3"/>
        <v>Eligible</v>
      </c>
    </row>
    <row r="197" spans="1:11" x14ac:dyDescent="0.35">
      <c r="A197" s="4">
        <v>196</v>
      </c>
      <c r="B197" s="3" t="s">
        <v>219</v>
      </c>
      <c r="C197" s="3" t="s">
        <v>11</v>
      </c>
      <c r="D197" s="3" t="s">
        <v>18</v>
      </c>
      <c r="E197" s="3">
        <v>76667</v>
      </c>
      <c r="F197" s="3">
        <v>110889</v>
      </c>
      <c r="G197" s="3" t="s">
        <v>13</v>
      </c>
      <c r="H197" s="3" t="s">
        <v>19</v>
      </c>
      <c r="I197" s="3">
        <v>376</v>
      </c>
      <c r="J197" s="5" t="s">
        <v>24</v>
      </c>
      <c r="K197" s="3" t="str">
        <f t="shared" si="3"/>
        <v>Eligible</v>
      </c>
    </row>
    <row r="198" spans="1:11" x14ac:dyDescent="0.35">
      <c r="A198" s="4">
        <v>197</v>
      </c>
      <c r="B198" s="3" t="s">
        <v>220</v>
      </c>
      <c r="C198" s="3" t="s">
        <v>17</v>
      </c>
      <c r="D198" s="3" t="s">
        <v>21</v>
      </c>
      <c r="E198" s="3">
        <v>86334</v>
      </c>
      <c r="F198" s="3">
        <v>150974</v>
      </c>
      <c r="G198" s="3" t="s">
        <v>22</v>
      </c>
      <c r="H198" s="3" t="s">
        <v>14</v>
      </c>
      <c r="I198" s="3">
        <v>870</v>
      </c>
      <c r="J198" s="5" t="s">
        <v>15</v>
      </c>
      <c r="K198" s="3" t="str">
        <f t="shared" si="3"/>
        <v>Review</v>
      </c>
    </row>
    <row r="199" spans="1:11" x14ac:dyDescent="0.35">
      <c r="A199" s="4">
        <v>198</v>
      </c>
      <c r="B199" s="3" t="s">
        <v>221</v>
      </c>
      <c r="C199" s="3" t="s">
        <v>17</v>
      </c>
      <c r="D199" s="3" t="s">
        <v>21</v>
      </c>
      <c r="E199" s="3">
        <v>69305</v>
      </c>
      <c r="F199" s="3">
        <v>157375</v>
      </c>
      <c r="G199" s="3" t="s">
        <v>13</v>
      </c>
      <c r="H199" s="3" t="s">
        <v>19</v>
      </c>
      <c r="I199" s="3">
        <v>671</v>
      </c>
      <c r="J199" s="5" t="s">
        <v>24</v>
      </c>
      <c r="K199" s="3" t="str">
        <f t="shared" si="3"/>
        <v>Eligible</v>
      </c>
    </row>
    <row r="200" spans="1:11" x14ac:dyDescent="0.35">
      <c r="A200" s="4">
        <v>199</v>
      </c>
      <c r="B200" s="3" t="s">
        <v>222</v>
      </c>
      <c r="C200" s="3" t="s">
        <v>17</v>
      </c>
      <c r="D200" s="3" t="s">
        <v>12</v>
      </c>
      <c r="E200" s="3">
        <v>87083</v>
      </c>
      <c r="F200" s="3">
        <v>14955</v>
      </c>
      <c r="G200" s="3" t="s">
        <v>13</v>
      </c>
      <c r="H200" s="3" t="s">
        <v>26</v>
      </c>
      <c r="I200" s="3">
        <v>407</v>
      </c>
      <c r="J200" s="5" t="s">
        <v>24</v>
      </c>
      <c r="K200" s="3" t="str">
        <f t="shared" si="3"/>
        <v>Eligible</v>
      </c>
    </row>
    <row r="201" spans="1:11" x14ac:dyDescent="0.35">
      <c r="A201" s="4">
        <v>200</v>
      </c>
      <c r="B201" s="3" t="s">
        <v>223</v>
      </c>
      <c r="C201" s="3" t="s">
        <v>17</v>
      </c>
      <c r="D201" s="3" t="s">
        <v>18</v>
      </c>
      <c r="E201" s="3">
        <v>62890</v>
      </c>
      <c r="F201" s="3">
        <v>440361</v>
      </c>
      <c r="G201" s="3" t="s">
        <v>13</v>
      </c>
      <c r="H201" s="3" t="s">
        <v>26</v>
      </c>
      <c r="I201" s="3">
        <v>439</v>
      </c>
      <c r="J201" s="5" t="s">
        <v>15</v>
      </c>
      <c r="K201" s="3" t="str">
        <f t="shared" si="3"/>
        <v>Eligible</v>
      </c>
    </row>
    <row r="202" spans="1:11" x14ac:dyDescent="0.35">
      <c r="A202" s="4">
        <v>201</v>
      </c>
      <c r="B202" s="3" t="s">
        <v>224</v>
      </c>
      <c r="C202" s="3" t="s">
        <v>17</v>
      </c>
      <c r="D202" s="3" t="s">
        <v>21</v>
      </c>
      <c r="E202" s="3">
        <v>103297</v>
      </c>
      <c r="F202" s="3">
        <v>82820</v>
      </c>
      <c r="G202" s="3" t="s">
        <v>13</v>
      </c>
      <c r="H202" s="3" t="s">
        <v>14</v>
      </c>
      <c r="I202" s="3">
        <v>821</v>
      </c>
      <c r="J202" s="5" t="s">
        <v>24</v>
      </c>
      <c r="K202" s="3" t="str">
        <f t="shared" si="3"/>
        <v>Eligible</v>
      </c>
    </row>
    <row r="203" spans="1:11" x14ac:dyDescent="0.35">
      <c r="A203" s="4">
        <v>202</v>
      </c>
      <c r="B203" s="3" t="s">
        <v>225</v>
      </c>
      <c r="C203" s="3" t="s">
        <v>17</v>
      </c>
      <c r="D203" s="3" t="s">
        <v>12</v>
      </c>
      <c r="E203" s="3">
        <v>79959</v>
      </c>
      <c r="F203" s="3">
        <v>314245</v>
      </c>
      <c r="G203" s="3" t="s">
        <v>13</v>
      </c>
      <c r="H203" s="3" t="s">
        <v>23</v>
      </c>
      <c r="I203" s="3">
        <v>374</v>
      </c>
      <c r="J203" s="5" t="s">
        <v>24</v>
      </c>
      <c r="K203" s="3" t="str">
        <f t="shared" si="3"/>
        <v>Eligible</v>
      </c>
    </row>
    <row r="204" spans="1:11" x14ac:dyDescent="0.35">
      <c r="A204" s="4">
        <v>203</v>
      </c>
      <c r="B204" s="3" t="s">
        <v>226</v>
      </c>
      <c r="C204" s="3" t="s">
        <v>17</v>
      </c>
      <c r="D204" s="3" t="s">
        <v>18</v>
      </c>
      <c r="E204" s="3">
        <v>82686</v>
      </c>
      <c r="F204" s="3">
        <v>377467</v>
      </c>
      <c r="G204" s="3" t="s">
        <v>22</v>
      </c>
      <c r="H204" s="3" t="s">
        <v>26</v>
      </c>
      <c r="I204" s="3">
        <v>530</v>
      </c>
      <c r="J204" s="5" t="s">
        <v>15</v>
      </c>
      <c r="K204" s="3" t="str">
        <f t="shared" si="3"/>
        <v>Review</v>
      </c>
    </row>
    <row r="205" spans="1:11" x14ac:dyDescent="0.35">
      <c r="A205" s="4">
        <v>204</v>
      </c>
      <c r="B205" s="3" t="s">
        <v>227</v>
      </c>
      <c r="C205" s="3" t="s">
        <v>11</v>
      </c>
      <c r="D205" s="3" t="s">
        <v>12</v>
      </c>
      <c r="E205" s="3">
        <v>67749</v>
      </c>
      <c r="F205" s="3">
        <v>163548</v>
      </c>
      <c r="G205" s="3" t="s">
        <v>22</v>
      </c>
      <c r="H205" s="3" t="s">
        <v>19</v>
      </c>
      <c r="I205" s="3">
        <v>341</v>
      </c>
      <c r="J205" s="5" t="s">
        <v>24</v>
      </c>
      <c r="K205" s="3" t="str">
        <f t="shared" si="3"/>
        <v>Review</v>
      </c>
    </row>
    <row r="206" spans="1:11" x14ac:dyDescent="0.35">
      <c r="A206" s="4">
        <v>205</v>
      </c>
      <c r="B206" s="3" t="s">
        <v>228</v>
      </c>
      <c r="C206" s="3" t="s">
        <v>17</v>
      </c>
      <c r="D206" s="3" t="s">
        <v>12</v>
      </c>
      <c r="E206" s="3">
        <v>69020</v>
      </c>
      <c r="F206" s="3">
        <v>275082</v>
      </c>
      <c r="G206" s="3" t="s">
        <v>22</v>
      </c>
      <c r="H206" s="3" t="s">
        <v>14</v>
      </c>
      <c r="I206" s="3">
        <v>825</v>
      </c>
      <c r="J206" s="5" t="s">
        <v>15</v>
      </c>
      <c r="K206" s="3" t="str">
        <f t="shared" si="3"/>
        <v>Review</v>
      </c>
    </row>
    <row r="207" spans="1:11" x14ac:dyDescent="0.35">
      <c r="A207" s="4">
        <v>206</v>
      </c>
      <c r="B207" s="3" t="s">
        <v>229</v>
      </c>
      <c r="C207" s="3" t="s">
        <v>11</v>
      </c>
      <c r="D207" s="3" t="s">
        <v>18</v>
      </c>
      <c r="E207" s="3">
        <v>46955</v>
      </c>
      <c r="F207" s="3">
        <v>181156</v>
      </c>
      <c r="G207" s="3" t="s">
        <v>22</v>
      </c>
      <c r="H207" s="3" t="s">
        <v>26</v>
      </c>
      <c r="I207" s="3">
        <v>420</v>
      </c>
      <c r="J207" s="5" t="s">
        <v>32</v>
      </c>
      <c r="K207" s="3" t="str">
        <f t="shared" si="3"/>
        <v>Review</v>
      </c>
    </row>
    <row r="208" spans="1:11" x14ac:dyDescent="0.35">
      <c r="A208" s="4">
        <v>207</v>
      </c>
      <c r="B208" s="3" t="s">
        <v>230</v>
      </c>
      <c r="C208" s="3" t="s">
        <v>17</v>
      </c>
      <c r="D208" s="3" t="s">
        <v>21</v>
      </c>
      <c r="E208" s="3">
        <v>21543</v>
      </c>
      <c r="F208" s="3">
        <v>223009</v>
      </c>
      <c r="G208" s="3" t="s">
        <v>13</v>
      </c>
      <c r="H208" s="3" t="s">
        <v>26</v>
      </c>
      <c r="I208" s="3">
        <v>714</v>
      </c>
      <c r="J208" s="5" t="s">
        <v>32</v>
      </c>
      <c r="K208" s="3" t="str">
        <f t="shared" si="3"/>
        <v>Review</v>
      </c>
    </row>
    <row r="209" spans="1:11" x14ac:dyDescent="0.35">
      <c r="A209" s="4">
        <v>208</v>
      </c>
      <c r="B209" s="3" t="s">
        <v>231</v>
      </c>
      <c r="C209" s="3" t="s">
        <v>17</v>
      </c>
      <c r="D209" s="3" t="s">
        <v>21</v>
      </c>
      <c r="E209" s="3">
        <v>100919</v>
      </c>
      <c r="F209" s="3">
        <v>458773</v>
      </c>
      <c r="G209" s="3" t="s">
        <v>22</v>
      </c>
      <c r="H209" s="3" t="s">
        <v>14</v>
      </c>
      <c r="I209" s="3">
        <v>560</v>
      </c>
      <c r="J209" s="5" t="s">
        <v>32</v>
      </c>
      <c r="K209" s="3" t="str">
        <f t="shared" si="3"/>
        <v>Review</v>
      </c>
    </row>
    <row r="210" spans="1:11" x14ac:dyDescent="0.35">
      <c r="A210" s="4">
        <v>209</v>
      </c>
      <c r="B210" s="3" t="s">
        <v>232</v>
      </c>
      <c r="C210" s="3" t="s">
        <v>17</v>
      </c>
      <c r="D210" s="3" t="s">
        <v>21</v>
      </c>
      <c r="E210" s="3">
        <v>116119</v>
      </c>
      <c r="F210" s="3">
        <v>241670</v>
      </c>
      <c r="G210" s="3" t="s">
        <v>13</v>
      </c>
      <c r="H210" s="3" t="s">
        <v>14</v>
      </c>
      <c r="I210" s="3">
        <v>509</v>
      </c>
      <c r="J210" s="5" t="s">
        <v>15</v>
      </c>
      <c r="K210" s="3" t="str">
        <f t="shared" si="3"/>
        <v>Eligible</v>
      </c>
    </row>
    <row r="211" spans="1:11" x14ac:dyDescent="0.35">
      <c r="A211" s="4">
        <v>210</v>
      </c>
      <c r="B211" s="3" t="s">
        <v>233</v>
      </c>
      <c r="C211" s="3" t="s">
        <v>11</v>
      </c>
      <c r="D211" s="3" t="s">
        <v>18</v>
      </c>
      <c r="E211" s="3">
        <v>110967</v>
      </c>
      <c r="F211" s="3">
        <v>455795</v>
      </c>
      <c r="G211" s="3" t="s">
        <v>13</v>
      </c>
      <c r="H211" s="3" t="s">
        <v>14</v>
      </c>
      <c r="I211" s="3">
        <v>715</v>
      </c>
      <c r="J211" s="5" t="s">
        <v>24</v>
      </c>
      <c r="K211" s="3" t="str">
        <f t="shared" si="3"/>
        <v>Eligible</v>
      </c>
    </row>
    <row r="212" spans="1:11" x14ac:dyDescent="0.35">
      <c r="A212" s="4">
        <v>211</v>
      </c>
      <c r="B212" s="3" t="s">
        <v>234</v>
      </c>
      <c r="C212" s="3" t="s">
        <v>17</v>
      </c>
      <c r="D212" s="3" t="s">
        <v>18</v>
      </c>
      <c r="E212" s="3">
        <v>93953</v>
      </c>
      <c r="F212" s="3">
        <v>85140</v>
      </c>
      <c r="G212" s="3" t="s">
        <v>13</v>
      </c>
      <c r="H212" s="3" t="s">
        <v>14</v>
      </c>
      <c r="I212" s="3">
        <v>769</v>
      </c>
      <c r="J212" s="5" t="s">
        <v>32</v>
      </c>
      <c r="K212" s="3" t="str">
        <f t="shared" si="3"/>
        <v>Eligible</v>
      </c>
    </row>
    <row r="213" spans="1:11" x14ac:dyDescent="0.35">
      <c r="A213" s="4">
        <v>212</v>
      </c>
      <c r="B213" s="3" t="s">
        <v>235</v>
      </c>
      <c r="C213" s="3" t="s">
        <v>11</v>
      </c>
      <c r="D213" s="3" t="s">
        <v>18</v>
      </c>
      <c r="E213" s="3">
        <v>99455</v>
      </c>
      <c r="F213" s="3">
        <v>191135</v>
      </c>
      <c r="G213" s="3" t="s">
        <v>22</v>
      </c>
      <c r="H213" s="3" t="s">
        <v>23</v>
      </c>
      <c r="I213" s="3">
        <v>306</v>
      </c>
      <c r="J213" s="5" t="s">
        <v>15</v>
      </c>
      <c r="K213" s="3" t="str">
        <f t="shared" si="3"/>
        <v>Review</v>
      </c>
    </row>
    <row r="214" spans="1:11" x14ac:dyDescent="0.35">
      <c r="A214" s="4">
        <v>213</v>
      </c>
      <c r="B214" s="3" t="s">
        <v>236</v>
      </c>
      <c r="C214" s="3" t="s">
        <v>17</v>
      </c>
      <c r="D214" s="3" t="s">
        <v>12</v>
      </c>
      <c r="E214" s="3">
        <v>51000</v>
      </c>
      <c r="F214" s="3">
        <v>95057</v>
      </c>
      <c r="G214" s="3" t="s">
        <v>13</v>
      </c>
      <c r="H214" s="3" t="s">
        <v>19</v>
      </c>
      <c r="I214" s="3">
        <v>589</v>
      </c>
      <c r="J214" s="5" t="s">
        <v>32</v>
      </c>
      <c r="K214" s="3" t="str">
        <f t="shared" si="3"/>
        <v>Eligible</v>
      </c>
    </row>
    <row r="215" spans="1:11" x14ac:dyDescent="0.35">
      <c r="A215" s="4">
        <v>214</v>
      </c>
      <c r="B215" s="3" t="s">
        <v>237</v>
      </c>
      <c r="C215" s="3" t="s">
        <v>11</v>
      </c>
      <c r="D215" s="3" t="s">
        <v>12</v>
      </c>
      <c r="E215" s="3">
        <v>47185</v>
      </c>
      <c r="F215" s="3">
        <v>303483</v>
      </c>
      <c r="G215" s="3" t="s">
        <v>22</v>
      </c>
      <c r="H215" s="3" t="s">
        <v>26</v>
      </c>
      <c r="I215" s="3">
        <v>360</v>
      </c>
      <c r="J215" s="5" t="s">
        <v>32</v>
      </c>
      <c r="K215" s="3" t="str">
        <f t="shared" si="3"/>
        <v>Review</v>
      </c>
    </row>
    <row r="216" spans="1:11" x14ac:dyDescent="0.35">
      <c r="A216" s="4">
        <v>215</v>
      </c>
      <c r="B216" s="3" t="s">
        <v>238</v>
      </c>
      <c r="C216" s="3" t="s">
        <v>17</v>
      </c>
      <c r="D216" s="3" t="s">
        <v>18</v>
      </c>
      <c r="E216" s="3">
        <v>41953</v>
      </c>
      <c r="F216" s="3">
        <v>460148</v>
      </c>
      <c r="G216" s="3" t="s">
        <v>22</v>
      </c>
      <c r="H216" s="3" t="s">
        <v>26</v>
      </c>
      <c r="I216" s="3">
        <v>846</v>
      </c>
      <c r="J216" s="5" t="s">
        <v>15</v>
      </c>
      <c r="K216" s="3" t="str">
        <f t="shared" si="3"/>
        <v>Review</v>
      </c>
    </row>
    <row r="217" spans="1:11" x14ac:dyDescent="0.35">
      <c r="A217" s="4">
        <v>216</v>
      </c>
      <c r="B217" s="3" t="s">
        <v>239</v>
      </c>
      <c r="C217" s="3" t="s">
        <v>17</v>
      </c>
      <c r="D217" s="3" t="s">
        <v>21</v>
      </c>
      <c r="E217" s="3">
        <v>91966</v>
      </c>
      <c r="F217" s="3">
        <v>360962</v>
      </c>
      <c r="G217" s="3" t="s">
        <v>13</v>
      </c>
      <c r="H217" s="3" t="s">
        <v>26</v>
      </c>
      <c r="I217" s="3">
        <v>896</v>
      </c>
      <c r="J217" s="5" t="s">
        <v>15</v>
      </c>
      <c r="K217" s="3" t="str">
        <f t="shared" si="3"/>
        <v>Eligible</v>
      </c>
    </row>
    <row r="218" spans="1:11" x14ac:dyDescent="0.35">
      <c r="A218" s="4">
        <v>217</v>
      </c>
      <c r="B218" s="3" t="s">
        <v>240</v>
      </c>
      <c r="C218" s="3" t="s">
        <v>11</v>
      </c>
      <c r="D218" s="3" t="s">
        <v>18</v>
      </c>
      <c r="E218" s="3">
        <v>95528</v>
      </c>
      <c r="F218" s="3">
        <v>12195</v>
      </c>
      <c r="G218" s="3" t="s">
        <v>22</v>
      </c>
      <c r="H218" s="3" t="s">
        <v>14</v>
      </c>
      <c r="I218" s="3">
        <v>345</v>
      </c>
      <c r="J218" s="5" t="s">
        <v>24</v>
      </c>
      <c r="K218" s="3" t="str">
        <f t="shared" si="3"/>
        <v>Review</v>
      </c>
    </row>
    <row r="219" spans="1:11" x14ac:dyDescent="0.35">
      <c r="A219" s="4">
        <v>218</v>
      </c>
      <c r="B219" s="3" t="s">
        <v>241</v>
      </c>
      <c r="C219" s="3" t="s">
        <v>11</v>
      </c>
      <c r="D219" s="3" t="s">
        <v>12</v>
      </c>
      <c r="E219" s="3">
        <v>105531</v>
      </c>
      <c r="F219" s="3">
        <v>493062</v>
      </c>
      <c r="G219" s="3" t="s">
        <v>22</v>
      </c>
      <c r="H219" s="3" t="s">
        <v>23</v>
      </c>
      <c r="I219" s="3">
        <v>363</v>
      </c>
      <c r="J219" s="5" t="s">
        <v>24</v>
      </c>
      <c r="K219" s="3" t="str">
        <f t="shared" si="3"/>
        <v>Review</v>
      </c>
    </row>
    <row r="220" spans="1:11" x14ac:dyDescent="0.35">
      <c r="A220" s="4">
        <v>219</v>
      </c>
      <c r="B220" s="3" t="s">
        <v>242</v>
      </c>
      <c r="C220" s="3" t="s">
        <v>17</v>
      </c>
      <c r="D220" s="3" t="s">
        <v>12</v>
      </c>
      <c r="E220" s="3">
        <v>59091</v>
      </c>
      <c r="F220" s="3">
        <v>191393</v>
      </c>
      <c r="G220" s="3" t="s">
        <v>22</v>
      </c>
      <c r="H220" s="3" t="s">
        <v>23</v>
      </c>
      <c r="I220" s="3">
        <v>760</v>
      </c>
      <c r="J220" s="5" t="s">
        <v>24</v>
      </c>
      <c r="K220" s="3" t="str">
        <f t="shared" si="3"/>
        <v>Review</v>
      </c>
    </row>
    <row r="221" spans="1:11" x14ac:dyDescent="0.35">
      <c r="A221" s="4">
        <v>220</v>
      </c>
      <c r="B221" s="3" t="s">
        <v>243</v>
      </c>
      <c r="C221" s="3" t="s">
        <v>17</v>
      </c>
      <c r="D221" s="3" t="s">
        <v>12</v>
      </c>
      <c r="E221" s="3">
        <v>112834</v>
      </c>
      <c r="F221" s="3">
        <v>494457</v>
      </c>
      <c r="G221" s="3" t="s">
        <v>22</v>
      </c>
      <c r="H221" s="3" t="s">
        <v>23</v>
      </c>
      <c r="I221" s="3">
        <v>318</v>
      </c>
      <c r="J221" s="5" t="s">
        <v>15</v>
      </c>
      <c r="K221" s="3" t="str">
        <f t="shared" si="3"/>
        <v>Review</v>
      </c>
    </row>
    <row r="222" spans="1:11" x14ac:dyDescent="0.35">
      <c r="A222" s="4">
        <v>221</v>
      </c>
      <c r="B222" s="3" t="s">
        <v>244</v>
      </c>
      <c r="C222" s="3" t="s">
        <v>11</v>
      </c>
      <c r="D222" s="3" t="s">
        <v>18</v>
      </c>
      <c r="E222" s="3">
        <v>104645</v>
      </c>
      <c r="F222" s="3">
        <v>58877</v>
      </c>
      <c r="G222" s="3" t="s">
        <v>13</v>
      </c>
      <c r="H222" s="3" t="s">
        <v>14</v>
      </c>
      <c r="I222" s="3">
        <v>710</v>
      </c>
      <c r="J222" s="5" t="s">
        <v>15</v>
      </c>
      <c r="K222" s="3" t="str">
        <f t="shared" si="3"/>
        <v>Eligible</v>
      </c>
    </row>
    <row r="223" spans="1:11" x14ac:dyDescent="0.35">
      <c r="A223" s="4">
        <v>222</v>
      </c>
      <c r="B223" s="3" t="s">
        <v>245</v>
      </c>
      <c r="C223" s="3" t="s">
        <v>17</v>
      </c>
      <c r="D223" s="3" t="s">
        <v>21</v>
      </c>
      <c r="E223" s="3">
        <v>97875</v>
      </c>
      <c r="F223" s="3">
        <v>204136</v>
      </c>
      <c r="G223" s="3" t="s">
        <v>22</v>
      </c>
      <c r="H223" s="3" t="s">
        <v>26</v>
      </c>
      <c r="I223" s="3">
        <v>384</v>
      </c>
      <c r="J223" s="5" t="s">
        <v>15</v>
      </c>
      <c r="K223" s="3" t="str">
        <f t="shared" si="3"/>
        <v>Review</v>
      </c>
    </row>
    <row r="224" spans="1:11" x14ac:dyDescent="0.35">
      <c r="A224" s="4">
        <v>223</v>
      </c>
      <c r="B224" s="3" t="s">
        <v>246</v>
      </c>
      <c r="C224" s="3" t="s">
        <v>11</v>
      </c>
      <c r="D224" s="3" t="s">
        <v>21</v>
      </c>
      <c r="E224" s="3">
        <v>112879</v>
      </c>
      <c r="F224" s="3">
        <v>496548</v>
      </c>
      <c r="G224" s="3" t="s">
        <v>13</v>
      </c>
      <c r="H224" s="3" t="s">
        <v>26</v>
      </c>
      <c r="I224" s="3">
        <v>729</v>
      </c>
      <c r="J224" s="5" t="s">
        <v>15</v>
      </c>
      <c r="K224" s="3" t="str">
        <f t="shared" si="3"/>
        <v>Eligible</v>
      </c>
    </row>
    <row r="225" spans="1:11" x14ac:dyDescent="0.35">
      <c r="A225" s="4">
        <v>224</v>
      </c>
      <c r="B225" s="3" t="s">
        <v>247</v>
      </c>
      <c r="C225" s="3" t="s">
        <v>11</v>
      </c>
      <c r="D225" s="3" t="s">
        <v>18</v>
      </c>
      <c r="E225" s="3">
        <v>37513</v>
      </c>
      <c r="F225" s="3">
        <v>68884</v>
      </c>
      <c r="G225" s="3" t="s">
        <v>22</v>
      </c>
      <c r="H225" s="3" t="s">
        <v>23</v>
      </c>
      <c r="I225" s="3">
        <v>551</v>
      </c>
      <c r="J225" s="5" t="s">
        <v>15</v>
      </c>
      <c r="K225" s="3" t="str">
        <f t="shared" si="3"/>
        <v>Review</v>
      </c>
    </row>
    <row r="226" spans="1:11" x14ac:dyDescent="0.35">
      <c r="A226" s="4">
        <v>225</v>
      </c>
      <c r="B226" s="3" t="s">
        <v>248</v>
      </c>
      <c r="C226" s="3" t="s">
        <v>11</v>
      </c>
      <c r="D226" s="3" t="s">
        <v>12</v>
      </c>
      <c r="E226" s="3">
        <v>44045</v>
      </c>
      <c r="F226" s="3">
        <v>28733</v>
      </c>
      <c r="G226" s="3" t="s">
        <v>13</v>
      </c>
      <c r="H226" s="3" t="s">
        <v>23</v>
      </c>
      <c r="I226" s="3">
        <v>753</v>
      </c>
      <c r="J226" s="5" t="s">
        <v>15</v>
      </c>
      <c r="K226" s="3" t="str">
        <f t="shared" si="3"/>
        <v>Review</v>
      </c>
    </row>
    <row r="227" spans="1:11" x14ac:dyDescent="0.35">
      <c r="A227" s="4">
        <v>226</v>
      </c>
      <c r="B227" s="3" t="s">
        <v>249</v>
      </c>
      <c r="C227" s="3" t="s">
        <v>11</v>
      </c>
      <c r="D227" s="3" t="s">
        <v>18</v>
      </c>
      <c r="E227" s="3">
        <v>100592</v>
      </c>
      <c r="F227" s="3">
        <v>490778</v>
      </c>
      <c r="G227" s="3" t="s">
        <v>13</v>
      </c>
      <c r="H227" s="3" t="s">
        <v>19</v>
      </c>
      <c r="I227" s="3">
        <v>584</v>
      </c>
      <c r="J227" s="5" t="s">
        <v>32</v>
      </c>
      <c r="K227" s="3" t="str">
        <f t="shared" si="3"/>
        <v>Eligible</v>
      </c>
    </row>
    <row r="228" spans="1:11" x14ac:dyDescent="0.35">
      <c r="A228" s="4">
        <v>227</v>
      </c>
      <c r="B228" s="3" t="s">
        <v>250</v>
      </c>
      <c r="C228" s="3" t="s">
        <v>17</v>
      </c>
      <c r="D228" s="3" t="s">
        <v>18</v>
      </c>
      <c r="E228" s="3">
        <v>89815</v>
      </c>
      <c r="F228" s="3">
        <v>149413</v>
      </c>
      <c r="G228" s="3" t="s">
        <v>13</v>
      </c>
      <c r="H228" s="3" t="s">
        <v>26</v>
      </c>
      <c r="I228" s="3">
        <v>686</v>
      </c>
      <c r="J228" s="5" t="s">
        <v>32</v>
      </c>
      <c r="K228" s="3" t="str">
        <f t="shared" si="3"/>
        <v>Eligible</v>
      </c>
    </row>
    <row r="229" spans="1:11" x14ac:dyDescent="0.35">
      <c r="A229" s="4">
        <v>228</v>
      </c>
      <c r="B229" s="3" t="s">
        <v>251</v>
      </c>
      <c r="C229" s="3" t="s">
        <v>17</v>
      </c>
      <c r="D229" s="3" t="s">
        <v>21</v>
      </c>
      <c r="E229" s="3">
        <v>24879</v>
      </c>
      <c r="F229" s="3">
        <v>237891</v>
      </c>
      <c r="G229" s="3" t="s">
        <v>13</v>
      </c>
      <c r="H229" s="3" t="s">
        <v>14</v>
      </c>
      <c r="I229" s="3">
        <v>476</v>
      </c>
      <c r="J229" s="5" t="s">
        <v>15</v>
      </c>
      <c r="K229" s="3" t="str">
        <f t="shared" si="3"/>
        <v>Review</v>
      </c>
    </row>
    <row r="230" spans="1:11" x14ac:dyDescent="0.35">
      <c r="A230" s="4">
        <v>229</v>
      </c>
      <c r="B230" s="3" t="s">
        <v>252</v>
      </c>
      <c r="C230" s="3" t="s">
        <v>11</v>
      </c>
      <c r="D230" s="3" t="s">
        <v>21</v>
      </c>
      <c r="E230" s="3">
        <v>81683</v>
      </c>
      <c r="F230" s="3">
        <v>187193</v>
      </c>
      <c r="G230" s="3" t="s">
        <v>22</v>
      </c>
      <c r="H230" s="3" t="s">
        <v>26</v>
      </c>
      <c r="I230" s="3">
        <v>827</v>
      </c>
      <c r="J230" s="5" t="s">
        <v>32</v>
      </c>
      <c r="K230" s="3" t="str">
        <f t="shared" si="3"/>
        <v>Review</v>
      </c>
    </row>
    <row r="231" spans="1:11" x14ac:dyDescent="0.35">
      <c r="A231" s="4">
        <v>230</v>
      </c>
      <c r="B231" s="3" t="s">
        <v>253</v>
      </c>
      <c r="C231" s="3" t="s">
        <v>11</v>
      </c>
      <c r="D231" s="3" t="s">
        <v>21</v>
      </c>
      <c r="E231" s="3">
        <v>21758</v>
      </c>
      <c r="F231" s="3">
        <v>22649</v>
      </c>
      <c r="G231" s="3" t="s">
        <v>22</v>
      </c>
      <c r="H231" s="3" t="s">
        <v>26</v>
      </c>
      <c r="I231" s="3">
        <v>596</v>
      </c>
      <c r="J231" s="5" t="s">
        <v>15</v>
      </c>
      <c r="K231" s="3" t="str">
        <f t="shared" si="3"/>
        <v>Review</v>
      </c>
    </row>
    <row r="232" spans="1:11" x14ac:dyDescent="0.35">
      <c r="A232" s="4">
        <v>231</v>
      </c>
      <c r="B232" s="3" t="s">
        <v>254</v>
      </c>
      <c r="C232" s="3" t="s">
        <v>17</v>
      </c>
      <c r="D232" s="3" t="s">
        <v>21</v>
      </c>
      <c r="E232" s="3">
        <v>36303</v>
      </c>
      <c r="F232" s="3">
        <v>59917</v>
      </c>
      <c r="G232" s="3" t="s">
        <v>13</v>
      </c>
      <c r="H232" s="3" t="s">
        <v>23</v>
      </c>
      <c r="I232" s="3">
        <v>818</v>
      </c>
      <c r="J232" s="5" t="s">
        <v>32</v>
      </c>
      <c r="K232" s="3" t="str">
        <f t="shared" si="3"/>
        <v>Review</v>
      </c>
    </row>
    <row r="233" spans="1:11" x14ac:dyDescent="0.35">
      <c r="A233" s="4">
        <v>232</v>
      </c>
      <c r="B233" s="3" t="s">
        <v>255</v>
      </c>
      <c r="C233" s="3" t="s">
        <v>11</v>
      </c>
      <c r="D233" s="3" t="s">
        <v>18</v>
      </c>
      <c r="E233" s="3">
        <v>53230</v>
      </c>
      <c r="F233" s="3">
        <v>409116</v>
      </c>
      <c r="G233" s="3" t="s">
        <v>13</v>
      </c>
      <c r="H233" s="3" t="s">
        <v>14</v>
      </c>
      <c r="I233" s="3">
        <v>409</v>
      </c>
      <c r="J233" s="5" t="s">
        <v>24</v>
      </c>
      <c r="K233" s="3" t="str">
        <f t="shared" si="3"/>
        <v>Eligible</v>
      </c>
    </row>
    <row r="234" spans="1:11" x14ac:dyDescent="0.35">
      <c r="A234" s="4">
        <v>233</v>
      </c>
      <c r="B234" s="3" t="s">
        <v>256</v>
      </c>
      <c r="C234" s="3" t="s">
        <v>17</v>
      </c>
      <c r="D234" s="3" t="s">
        <v>18</v>
      </c>
      <c r="E234" s="3">
        <v>111931</v>
      </c>
      <c r="F234" s="3">
        <v>168650</v>
      </c>
      <c r="G234" s="3" t="s">
        <v>22</v>
      </c>
      <c r="H234" s="3" t="s">
        <v>26</v>
      </c>
      <c r="I234" s="3">
        <v>524</v>
      </c>
      <c r="J234" s="5" t="s">
        <v>32</v>
      </c>
      <c r="K234" s="3" t="str">
        <f t="shared" si="3"/>
        <v>Review</v>
      </c>
    </row>
    <row r="235" spans="1:11" x14ac:dyDescent="0.35">
      <c r="A235" s="4">
        <v>234</v>
      </c>
      <c r="B235" s="3" t="s">
        <v>257</v>
      </c>
      <c r="C235" s="3" t="s">
        <v>17</v>
      </c>
      <c r="D235" s="3" t="s">
        <v>21</v>
      </c>
      <c r="E235" s="3">
        <v>118463</v>
      </c>
      <c r="F235" s="3">
        <v>391844</v>
      </c>
      <c r="G235" s="3" t="s">
        <v>22</v>
      </c>
      <c r="H235" s="3" t="s">
        <v>14</v>
      </c>
      <c r="I235" s="3">
        <v>775</v>
      </c>
      <c r="J235" s="5" t="s">
        <v>24</v>
      </c>
      <c r="K235" s="3" t="str">
        <f t="shared" si="3"/>
        <v>Review</v>
      </c>
    </row>
    <row r="236" spans="1:11" x14ac:dyDescent="0.35">
      <c r="A236" s="4">
        <v>235</v>
      </c>
      <c r="B236" s="3" t="s">
        <v>258</v>
      </c>
      <c r="C236" s="3" t="s">
        <v>11</v>
      </c>
      <c r="D236" s="3" t="s">
        <v>12</v>
      </c>
      <c r="E236" s="3">
        <v>60930</v>
      </c>
      <c r="F236" s="3">
        <v>475595</v>
      </c>
      <c r="G236" s="3" t="s">
        <v>13</v>
      </c>
      <c r="H236" s="3" t="s">
        <v>19</v>
      </c>
      <c r="I236" s="3">
        <v>539</v>
      </c>
      <c r="J236" s="5" t="s">
        <v>32</v>
      </c>
      <c r="K236" s="3" t="str">
        <f t="shared" si="3"/>
        <v>Eligible</v>
      </c>
    </row>
    <row r="237" spans="1:11" x14ac:dyDescent="0.35">
      <c r="A237" s="4">
        <v>236</v>
      </c>
      <c r="B237" s="3" t="s">
        <v>259</v>
      </c>
      <c r="C237" s="3" t="s">
        <v>11</v>
      </c>
      <c r="D237" s="3" t="s">
        <v>21</v>
      </c>
      <c r="E237" s="3">
        <v>63806</v>
      </c>
      <c r="F237" s="3">
        <v>183201</v>
      </c>
      <c r="G237" s="3" t="s">
        <v>22</v>
      </c>
      <c r="H237" s="3" t="s">
        <v>14</v>
      </c>
      <c r="I237" s="3">
        <v>827</v>
      </c>
      <c r="J237" s="5" t="s">
        <v>15</v>
      </c>
      <c r="K237" s="3" t="str">
        <f t="shared" si="3"/>
        <v>Review</v>
      </c>
    </row>
    <row r="238" spans="1:11" x14ac:dyDescent="0.35">
      <c r="A238" s="4">
        <v>237</v>
      </c>
      <c r="B238" s="3" t="s">
        <v>260</v>
      </c>
      <c r="C238" s="3" t="s">
        <v>11</v>
      </c>
      <c r="D238" s="3" t="s">
        <v>12</v>
      </c>
      <c r="E238" s="3">
        <v>78395</v>
      </c>
      <c r="F238" s="3">
        <v>340737</v>
      </c>
      <c r="G238" s="3" t="s">
        <v>13</v>
      </c>
      <c r="H238" s="3" t="s">
        <v>19</v>
      </c>
      <c r="I238" s="3">
        <v>875</v>
      </c>
      <c r="J238" s="5" t="s">
        <v>24</v>
      </c>
      <c r="K238" s="3" t="str">
        <f t="shared" si="3"/>
        <v>Eligible</v>
      </c>
    </row>
    <row r="239" spans="1:11" x14ac:dyDescent="0.35">
      <c r="A239" s="4">
        <v>238</v>
      </c>
      <c r="B239" s="3" t="s">
        <v>261</v>
      </c>
      <c r="C239" s="3" t="s">
        <v>11</v>
      </c>
      <c r="D239" s="3" t="s">
        <v>18</v>
      </c>
      <c r="E239" s="3">
        <v>106136</v>
      </c>
      <c r="F239" s="3">
        <v>218987</v>
      </c>
      <c r="G239" s="3" t="s">
        <v>13</v>
      </c>
      <c r="H239" s="3" t="s">
        <v>23</v>
      </c>
      <c r="I239" s="3">
        <v>369</v>
      </c>
      <c r="J239" s="5" t="s">
        <v>24</v>
      </c>
      <c r="K239" s="3" t="str">
        <f t="shared" si="3"/>
        <v>Eligible</v>
      </c>
    </row>
    <row r="240" spans="1:11" x14ac:dyDescent="0.35">
      <c r="A240" s="4">
        <v>239</v>
      </c>
      <c r="B240" s="3" t="s">
        <v>262</v>
      </c>
      <c r="C240" s="3" t="s">
        <v>17</v>
      </c>
      <c r="D240" s="3" t="s">
        <v>18</v>
      </c>
      <c r="E240" s="3">
        <v>67122</v>
      </c>
      <c r="F240" s="3">
        <v>291062</v>
      </c>
      <c r="G240" s="3" t="s">
        <v>22</v>
      </c>
      <c r="H240" s="3" t="s">
        <v>23</v>
      </c>
      <c r="I240" s="3">
        <v>805</v>
      </c>
      <c r="J240" s="5" t="s">
        <v>15</v>
      </c>
      <c r="K240" s="3" t="str">
        <f t="shared" si="3"/>
        <v>Review</v>
      </c>
    </row>
    <row r="241" spans="1:11" x14ac:dyDescent="0.35">
      <c r="A241" s="4">
        <v>240</v>
      </c>
      <c r="B241" s="3" t="s">
        <v>263</v>
      </c>
      <c r="C241" s="3" t="s">
        <v>17</v>
      </c>
      <c r="D241" s="3" t="s">
        <v>21</v>
      </c>
      <c r="E241" s="3">
        <v>24720</v>
      </c>
      <c r="F241" s="3">
        <v>398927</v>
      </c>
      <c r="G241" s="3" t="s">
        <v>13</v>
      </c>
      <c r="H241" s="3" t="s">
        <v>26</v>
      </c>
      <c r="I241" s="3">
        <v>715</v>
      </c>
      <c r="J241" s="5" t="s">
        <v>32</v>
      </c>
      <c r="K241" s="3" t="str">
        <f t="shared" si="3"/>
        <v>Review</v>
      </c>
    </row>
    <row r="242" spans="1:11" x14ac:dyDescent="0.35">
      <c r="A242" s="4">
        <v>241</v>
      </c>
      <c r="B242" s="3" t="s">
        <v>264</v>
      </c>
      <c r="C242" s="3" t="s">
        <v>11</v>
      </c>
      <c r="D242" s="3" t="s">
        <v>18</v>
      </c>
      <c r="E242" s="3">
        <v>48240</v>
      </c>
      <c r="F242" s="3">
        <v>481026</v>
      </c>
      <c r="G242" s="3" t="s">
        <v>13</v>
      </c>
      <c r="H242" s="3" t="s">
        <v>19</v>
      </c>
      <c r="I242" s="3">
        <v>730</v>
      </c>
      <c r="J242" s="5" t="s">
        <v>15</v>
      </c>
      <c r="K242" s="3" t="str">
        <f t="shared" si="3"/>
        <v>Review</v>
      </c>
    </row>
    <row r="243" spans="1:11" x14ac:dyDescent="0.35">
      <c r="A243" s="4">
        <v>242</v>
      </c>
      <c r="B243" s="3" t="s">
        <v>265</v>
      </c>
      <c r="C243" s="3" t="s">
        <v>11</v>
      </c>
      <c r="D243" s="3" t="s">
        <v>12</v>
      </c>
      <c r="E243" s="3">
        <v>81621</v>
      </c>
      <c r="F243" s="3">
        <v>443470</v>
      </c>
      <c r="G243" s="3" t="s">
        <v>13</v>
      </c>
      <c r="H243" s="3" t="s">
        <v>19</v>
      </c>
      <c r="I243" s="3">
        <v>450</v>
      </c>
      <c r="J243" s="5" t="s">
        <v>32</v>
      </c>
      <c r="K243" s="3" t="str">
        <f t="shared" si="3"/>
        <v>Eligible</v>
      </c>
    </row>
    <row r="244" spans="1:11" x14ac:dyDescent="0.35">
      <c r="A244" s="4">
        <v>243</v>
      </c>
      <c r="B244" s="3" t="s">
        <v>266</v>
      </c>
      <c r="C244" s="3" t="s">
        <v>17</v>
      </c>
      <c r="D244" s="3" t="s">
        <v>12</v>
      </c>
      <c r="E244" s="3">
        <v>64241</v>
      </c>
      <c r="F244" s="3">
        <v>191046</v>
      </c>
      <c r="G244" s="3" t="s">
        <v>13</v>
      </c>
      <c r="H244" s="3" t="s">
        <v>14</v>
      </c>
      <c r="I244" s="3">
        <v>605</v>
      </c>
      <c r="J244" s="5" t="s">
        <v>32</v>
      </c>
      <c r="K244" s="3" t="str">
        <f t="shared" si="3"/>
        <v>Eligible</v>
      </c>
    </row>
    <row r="245" spans="1:11" x14ac:dyDescent="0.35">
      <c r="A245" s="4">
        <v>244</v>
      </c>
      <c r="B245" s="3" t="s">
        <v>267</v>
      </c>
      <c r="C245" s="3" t="s">
        <v>11</v>
      </c>
      <c r="D245" s="3" t="s">
        <v>18</v>
      </c>
      <c r="E245" s="3">
        <v>99486</v>
      </c>
      <c r="F245" s="3">
        <v>239214</v>
      </c>
      <c r="G245" s="3" t="s">
        <v>13</v>
      </c>
      <c r="H245" s="3" t="s">
        <v>19</v>
      </c>
      <c r="I245" s="3">
        <v>708</v>
      </c>
      <c r="J245" s="5" t="s">
        <v>24</v>
      </c>
      <c r="K245" s="3" t="str">
        <f t="shared" si="3"/>
        <v>Eligible</v>
      </c>
    </row>
    <row r="246" spans="1:11" x14ac:dyDescent="0.35">
      <c r="A246" s="4">
        <v>245</v>
      </c>
      <c r="B246" s="3" t="s">
        <v>268</v>
      </c>
      <c r="C246" s="3" t="s">
        <v>17</v>
      </c>
      <c r="D246" s="3" t="s">
        <v>12</v>
      </c>
      <c r="E246" s="3">
        <v>29673</v>
      </c>
      <c r="F246" s="3">
        <v>192896</v>
      </c>
      <c r="G246" s="3" t="s">
        <v>22</v>
      </c>
      <c r="H246" s="3" t="s">
        <v>19</v>
      </c>
      <c r="I246" s="3">
        <v>762</v>
      </c>
      <c r="J246" s="5" t="s">
        <v>32</v>
      </c>
      <c r="K246" s="3" t="str">
        <f t="shared" si="3"/>
        <v>Review</v>
      </c>
    </row>
    <row r="247" spans="1:11" x14ac:dyDescent="0.35">
      <c r="A247" s="4">
        <v>246</v>
      </c>
      <c r="B247" s="3" t="s">
        <v>269</v>
      </c>
      <c r="C247" s="3" t="s">
        <v>17</v>
      </c>
      <c r="D247" s="3" t="s">
        <v>12</v>
      </c>
      <c r="E247" s="3">
        <v>50085</v>
      </c>
      <c r="F247" s="3">
        <v>336888</v>
      </c>
      <c r="G247" s="3" t="s">
        <v>22</v>
      </c>
      <c r="H247" s="3" t="s">
        <v>26</v>
      </c>
      <c r="I247" s="3">
        <v>406</v>
      </c>
      <c r="J247" s="5" t="s">
        <v>32</v>
      </c>
      <c r="K247" s="3" t="str">
        <f t="shared" si="3"/>
        <v>Review</v>
      </c>
    </row>
    <row r="248" spans="1:11" x14ac:dyDescent="0.35">
      <c r="A248" s="4">
        <v>247</v>
      </c>
      <c r="B248" s="3" t="s">
        <v>270</v>
      </c>
      <c r="C248" s="3" t="s">
        <v>17</v>
      </c>
      <c r="D248" s="3" t="s">
        <v>21</v>
      </c>
      <c r="E248" s="3">
        <v>24761</v>
      </c>
      <c r="F248" s="3">
        <v>381272</v>
      </c>
      <c r="G248" s="3" t="s">
        <v>13</v>
      </c>
      <c r="H248" s="3" t="s">
        <v>23</v>
      </c>
      <c r="I248" s="3">
        <v>585</v>
      </c>
      <c r="J248" s="5" t="s">
        <v>24</v>
      </c>
      <c r="K248" s="3" t="str">
        <f t="shared" si="3"/>
        <v>Review</v>
      </c>
    </row>
    <row r="249" spans="1:11" x14ac:dyDescent="0.35">
      <c r="A249" s="4">
        <v>248</v>
      </c>
      <c r="B249" s="3" t="s">
        <v>271</v>
      </c>
      <c r="C249" s="3" t="s">
        <v>11</v>
      </c>
      <c r="D249" s="3" t="s">
        <v>21</v>
      </c>
      <c r="E249" s="3">
        <v>32849</v>
      </c>
      <c r="F249" s="3">
        <v>420895</v>
      </c>
      <c r="G249" s="3" t="s">
        <v>22</v>
      </c>
      <c r="H249" s="3" t="s">
        <v>19</v>
      </c>
      <c r="I249" s="3">
        <v>801</v>
      </c>
      <c r="J249" s="5" t="s">
        <v>24</v>
      </c>
      <c r="K249" s="3" t="str">
        <f t="shared" si="3"/>
        <v>Review</v>
      </c>
    </row>
    <row r="250" spans="1:11" x14ac:dyDescent="0.35">
      <c r="A250" s="4">
        <v>249</v>
      </c>
      <c r="B250" s="3" t="s">
        <v>272</v>
      </c>
      <c r="C250" s="3" t="s">
        <v>17</v>
      </c>
      <c r="D250" s="3" t="s">
        <v>21</v>
      </c>
      <c r="E250" s="3">
        <v>74358</v>
      </c>
      <c r="F250" s="3">
        <v>179080</v>
      </c>
      <c r="G250" s="3" t="s">
        <v>22</v>
      </c>
      <c r="H250" s="3" t="s">
        <v>14</v>
      </c>
      <c r="I250" s="3">
        <v>773</v>
      </c>
      <c r="J250" s="5" t="s">
        <v>15</v>
      </c>
      <c r="K250" s="3" t="str">
        <f t="shared" si="3"/>
        <v>Review</v>
      </c>
    </row>
    <row r="251" spans="1:11" x14ac:dyDescent="0.35">
      <c r="A251" s="4">
        <v>250</v>
      </c>
      <c r="B251" s="3" t="s">
        <v>273</v>
      </c>
      <c r="C251" s="3" t="s">
        <v>17</v>
      </c>
      <c r="D251" s="3" t="s">
        <v>12</v>
      </c>
      <c r="E251" s="3">
        <v>45833</v>
      </c>
      <c r="F251" s="3">
        <v>26815</v>
      </c>
      <c r="G251" s="3" t="s">
        <v>13</v>
      </c>
      <c r="H251" s="3" t="s">
        <v>19</v>
      </c>
      <c r="I251" s="3">
        <v>390</v>
      </c>
      <c r="J251" s="5" t="s">
        <v>32</v>
      </c>
      <c r="K251" s="3" t="str">
        <f t="shared" si="3"/>
        <v>Review</v>
      </c>
    </row>
    <row r="252" spans="1:11" x14ac:dyDescent="0.35">
      <c r="A252" s="4">
        <v>251</v>
      </c>
      <c r="B252" s="3" t="s">
        <v>274</v>
      </c>
      <c r="C252" s="3" t="s">
        <v>17</v>
      </c>
      <c r="D252" s="3" t="s">
        <v>18</v>
      </c>
      <c r="E252" s="3">
        <v>81104</v>
      </c>
      <c r="F252" s="3">
        <v>20873</v>
      </c>
      <c r="G252" s="3" t="s">
        <v>22</v>
      </c>
      <c r="H252" s="3" t="s">
        <v>19</v>
      </c>
      <c r="I252" s="3">
        <v>607</v>
      </c>
      <c r="J252" s="5" t="s">
        <v>24</v>
      </c>
      <c r="K252" s="3" t="str">
        <f t="shared" si="3"/>
        <v>Review</v>
      </c>
    </row>
    <row r="253" spans="1:11" x14ac:dyDescent="0.35">
      <c r="A253" s="4">
        <v>252</v>
      </c>
      <c r="B253" s="3" t="s">
        <v>275</v>
      </c>
      <c r="C253" s="3" t="s">
        <v>11</v>
      </c>
      <c r="D253" s="3" t="s">
        <v>12</v>
      </c>
      <c r="E253" s="3">
        <v>73095</v>
      </c>
      <c r="F253" s="3">
        <v>18661</v>
      </c>
      <c r="G253" s="3" t="s">
        <v>22</v>
      </c>
      <c r="H253" s="3" t="s">
        <v>19</v>
      </c>
      <c r="I253" s="3">
        <v>660</v>
      </c>
      <c r="J253" s="5" t="s">
        <v>15</v>
      </c>
      <c r="K253" s="3" t="str">
        <f t="shared" si="3"/>
        <v>Review</v>
      </c>
    </row>
    <row r="254" spans="1:11" x14ac:dyDescent="0.35">
      <c r="A254" s="4">
        <v>253</v>
      </c>
      <c r="B254" s="3" t="s">
        <v>276</v>
      </c>
      <c r="C254" s="3" t="s">
        <v>17</v>
      </c>
      <c r="D254" s="3" t="s">
        <v>12</v>
      </c>
      <c r="E254" s="3">
        <v>37208</v>
      </c>
      <c r="F254" s="3">
        <v>88128</v>
      </c>
      <c r="G254" s="3" t="s">
        <v>22</v>
      </c>
      <c r="H254" s="3" t="s">
        <v>19</v>
      </c>
      <c r="I254" s="3">
        <v>734</v>
      </c>
      <c r="J254" s="5" t="s">
        <v>32</v>
      </c>
      <c r="K254" s="3" t="str">
        <f t="shared" si="3"/>
        <v>Review</v>
      </c>
    </row>
    <row r="255" spans="1:11" x14ac:dyDescent="0.35">
      <c r="A255" s="4">
        <v>254</v>
      </c>
      <c r="B255" s="3" t="s">
        <v>277</v>
      </c>
      <c r="C255" s="3" t="s">
        <v>11</v>
      </c>
      <c r="D255" s="3" t="s">
        <v>21</v>
      </c>
      <c r="E255" s="3">
        <v>34491</v>
      </c>
      <c r="F255" s="3">
        <v>439384</v>
      </c>
      <c r="G255" s="3" t="s">
        <v>13</v>
      </c>
      <c r="H255" s="3" t="s">
        <v>14</v>
      </c>
      <c r="I255" s="3">
        <v>323</v>
      </c>
      <c r="J255" s="5" t="s">
        <v>15</v>
      </c>
      <c r="K255" s="3" t="str">
        <f t="shared" si="3"/>
        <v>Review</v>
      </c>
    </row>
    <row r="256" spans="1:11" x14ac:dyDescent="0.35">
      <c r="A256" s="4">
        <v>255</v>
      </c>
      <c r="B256" s="3" t="s">
        <v>278</v>
      </c>
      <c r="C256" s="3" t="s">
        <v>17</v>
      </c>
      <c r="D256" s="3" t="s">
        <v>21</v>
      </c>
      <c r="E256" s="3">
        <v>53609</v>
      </c>
      <c r="F256" s="3">
        <v>158771</v>
      </c>
      <c r="G256" s="3" t="s">
        <v>22</v>
      </c>
      <c r="H256" s="3" t="s">
        <v>26</v>
      </c>
      <c r="I256" s="3">
        <v>806</v>
      </c>
      <c r="J256" s="5" t="s">
        <v>32</v>
      </c>
      <c r="K256" s="3" t="str">
        <f t="shared" si="3"/>
        <v>Review</v>
      </c>
    </row>
    <row r="257" spans="1:11" x14ac:dyDescent="0.35">
      <c r="A257" s="4">
        <v>256</v>
      </c>
      <c r="B257" s="3" t="s">
        <v>279</v>
      </c>
      <c r="C257" s="3" t="s">
        <v>11</v>
      </c>
      <c r="D257" s="3" t="s">
        <v>12</v>
      </c>
      <c r="E257" s="3">
        <v>21465</v>
      </c>
      <c r="F257" s="3">
        <v>334434</v>
      </c>
      <c r="G257" s="3" t="s">
        <v>13</v>
      </c>
      <c r="H257" s="3" t="s">
        <v>26</v>
      </c>
      <c r="I257" s="3">
        <v>436</v>
      </c>
      <c r="J257" s="5" t="s">
        <v>32</v>
      </c>
      <c r="K257" s="3" t="str">
        <f t="shared" si="3"/>
        <v>Review</v>
      </c>
    </row>
    <row r="258" spans="1:11" x14ac:dyDescent="0.35">
      <c r="A258" s="4">
        <v>257</v>
      </c>
      <c r="B258" s="3" t="s">
        <v>280</v>
      </c>
      <c r="C258" s="3" t="s">
        <v>17</v>
      </c>
      <c r="D258" s="3" t="s">
        <v>12</v>
      </c>
      <c r="E258" s="3">
        <v>46526</v>
      </c>
      <c r="F258" s="3">
        <v>30077</v>
      </c>
      <c r="G258" s="3" t="s">
        <v>13</v>
      </c>
      <c r="H258" s="3" t="s">
        <v>26</v>
      </c>
      <c r="I258" s="3">
        <v>607</v>
      </c>
      <c r="J258" s="5" t="s">
        <v>32</v>
      </c>
      <c r="K258" s="3" t="str">
        <f t="shared" ref="K258:K321" si="4">IF(AND(E258&gt;50000,G258="Approved"),"Eligible","Review")</f>
        <v>Review</v>
      </c>
    </row>
    <row r="259" spans="1:11" x14ac:dyDescent="0.35">
      <c r="A259" s="4">
        <v>258</v>
      </c>
      <c r="B259" s="3" t="s">
        <v>281</v>
      </c>
      <c r="C259" s="3" t="s">
        <v>17</v>
      </c>
      <c r="D259" s="3" t="s">
        <v>18</v>
      </c>
      <c r="E259" s="3">
        <v>35765</v>
      </c>
      <c r="F259" s="3">
        <v>46375</v>
      </c>
      <c r="G259" s="3" t="s">
        <v>22</v>
      </c>
      <c r="H259" s="3" t="s">
        <v>23</v>
      </c>
      <c r="I259" s="3">
        <v>804</v>
      </c>
      <c r="J259" s="5" t="s">
        <v>15</v>
      </c>
      <c r="K259" s="3" t="str">
        <f t="shared" si="4"/>
        <v>Review</v>
      </c>
    </row>
    <row r="260" spans="1:11" x14ac:dyDescent="0.35">
      <c r="A260" s="4">
        <v>259</v>
      </c>
      <c r="B260" s="3" t="s">
        <v>282</v>
      </c>
      <c r="C260" s="3" t="s">
        <v>17</v>
      </c>
      <c r="D260" s="3" t="s">
        <v>21</v>
      </c>
      <c r="E260" s="3">
        <v>93150</v>
      </c>
      <c r="F260" s="3">
        <v>189198</v>
      </c>
      <c r="G260" s="3" t="s">
        <v>22</v>
      </c>
      <c r="H260" s="3" t="s">
        <v>19</v>
      </c>
      <c r="I260" s="3">
        <v>882</v>
      </c>
      <c r="J260" s="5" t="s">
        <v>32</v>
      </c>
      <c r="K260" s="3" t="str">
        <f t="shared" si="4"/>
        <v>Review</v>
      </c>
    </row>
    <row r="261" spans="1:11" x14ac:dyDescent="0.35">
      <c r="A261" s="4">
        <v>260</v>
      </c>
      <c r="B261" s="3" t="s">
        <v>283</v>
      </c>
      <c r="C261" s="3" t="s">
        <v>11</v>
      </c>
      <c r="D261" s="3" t="s">
        <v>12</v>
      </c>
      <c r="E261" s="3">
        <v>117648</v>
      </c>
      <c r="F261" s="3">
        <v>208433</v>
      </c>
      <c r="G261" s="3" t="s">
        <v>22</v>
      </c>
      <c r="H261" s="3" t="s">
        <v>14</v>
      </c>
      <c r="I261" s="3">
        <v>511</v>
      </c>
      <c r="J261" s="5" t="s">
        <v>32</v>
      </c>
      <c r="K261" s="3" t="str">
        <f t="shared" si="4"/>
        <v>Review</v>
      </c>
    </row>
    <row r="262" spans="1:11" x14ac:dyDescent="0.35">
      <c r="A262" s="4">
        <v>261</v>
      </c>
      <c r="B262" s="3" t="s">
        <v>284</v>
      </c>
      <c r="C262" s="3" t="s">
        <v>11</v>
      </c>
      <c r="D262" s="3" t="s">
        <v>12</v>
      </c>
      <c r="E262" s="3">
        <v>27160</v>
      </c>
      <c r="F262" s="3">
        <v>462381</v>
      </c>
      <c r="G262" s="3" t="s">
        <v>22</v>
      </c>
      <c r="H262" s="3" t="s">
        <v>23</v>
      </c>
      <c r="I262" s="3">
        <v>451</v>
      </c>
      <c r="J262" s="5" t="s">
        <v>15</v>
      </c>
      <c r="K262" s="3" t="str">
        <f t="shared" si="4"/>
        <v>Review</v>
      </c>
    </row>
    <row r="263" spans="1:11" x14ac:dyDescent="0.35">
      <c r="A263" s="4">
        <v>262</v>
      </c>
      <c r="B263" s="3" t="s">
        <v>285</v>
      </c>
      <c r="C263" s="3" t="s">
        <v>17</v>
      </c>
      <c r="D263" s="3" t="s">
        <v>18</v>
      </c>
      <c r="E263" s="3">
        <v>33751</v>
      </c>
      <c r="F263" s="3">
        <v>189030</v>
      </c>
      <c r="G263" s="3" t="s">
        <v>13</v>
      </c>
      <c r="H263" s="3" t="s">
        <v>23</v>
      </c>
      <c r="I263" s="3">
        <v>782</v>
      </c>
      <c r="J263" s="5" t="s">
        <v>15</v>
      </c>
      <c r="K263" s="3" t="str">
        <f t="shared" si="4"/>
        <v>Review</v>
      </c>
    </row>
    <row r="264" spans="1:11" x14ac:dyDescent="0.35">
      <c r="A264" s="4">
        <v>263</v>
      </c>
      <c r="B264" s="3" t="s">
        <v>286</v>
      </c>
      <c r="C264" s="3" t="s">
        <v>17</v>
      </c>
      <c r="D264" s="3" t="s">
        <v>12</v>
      </c>
      <c r="E264" s="3">
        <v>61070</v>
      </c>
      <c r="F264" s="3">
        <v>313058</v>
      </c>
      <c r="G264" s="3" t="s">
        <v>22</v>
      </c>
      <c r="H264" s="3" t="s">
        <v>23</v>
      </c>
      <c r="I264" s="3">
        <v>809</v>
      </c>
      <c r="J264" s="5" t="s">
        <v>24</v>
      </c>
      <c r="K264" s="3" t="str">
        <f t="shared" si="4"/>
        <v>Review</v>
      </c>
    </row>
    <row r="265" spans="1:11" x14ac:dyDescent="0.35">
      <c r="A265" s="4">
        <v>264</v>
      </c>
      <c r="B265" s="3" t="s">
        <v>287</v>
      </c>
      <c r="C265" s="3" t="s">
        <v>17</v>
      </c>
      <c r="D265" s="3" t="s">
        <v>12</v>
      </c>
      <c r="E265" s="3">
        <v>44451</v>
      </c>
      <c r="F265" s="3">
        <v>428006</v>
      </c>
      <c r="G265" s="3" t="s">
        <v>22</v>
      </c>
      <c r="H265" s="3" t="s">
        <v>26</v>
      </c>
      <c r="I265" s="3">
        <v>479</v>
      </c>
      <c r="J265" s="5" t="s">
        <v>24</v>
      </c>
      <c r="K265" s="3" t="str">
        <f t="shared" si="4"/>
        <v>Review</v>
      </c>
    </row>
    <row r="266" spans="1:11" x14ac:dyDescent="0.35">
      <c r="A266" s="4">
        <v>265</v>
      </c>
      <c r="B266" s="3" t="s">
        <v>288</v>
      </c>
      <c r="C266" s="3" t="s">
        <v>11</v>
      </c>
      <c r="D266" s="3" t="s">
        <v>21</v>
      </c>
      <c r="E266" s="3">
        <v>22559</v>
      </c>
      <c r="F266" s="3">
        <v>449220</v>
      </c>
      <c r="G266" s="3" t="s">
        <v>13</v>
      </c>
      <c r="H266" s="3" t="s">
        <v>14</v>
      </c>
      <c r="I266" s="3">
        <v>757</v>
      </c>
      <c r="J266" s="5" t="s">
        <v>15</v>
      </c>
      <c r="K266" s="3" t="str">
        <f t="shared" si="4"/>
        <v>Review</v>
      </c>
    </row>
    <row r="267" spans="1:11" x14ac:dyDescent="0.35">
      <c r="A267" s="4">
        <v>266</v>
      </c>
      <c r="B267" s="3" t="s">
        <v>289</v>
      </c>
      <c r="C267" s="3" t="s">
        <v>17</v>
      </c>
      <c r="D267" s="3" t="s">
        <v>21</v>
      </c>
      <c r="E267" s="3">
        <v>58079</v>
      </c>
      <c r="F267" s="3">
        <v>195877</v>
      </c>
      <c r="G267" s="3" t="s">
        <v>13</v>
      </c>
      <c r="H267" s="3" t="s">
        <v>23</v>
      </c>
      <c r="I267" s="3">
        <v>643</v>
      </c>
      <c r="J267" s="5" t="s">
        <v>32</v>
      </c>
      <c r="K267" s="3" t="str">
        <f t="shared" si="4"/>
        <v>Eligible</v>
      </c>
    </row>
    <row r="268" spans="1:11" x14ac:dyDescent="0.35">
      <c r="A268" s="4">
        <v>267</v>
      </c>
      <c r="B268" s="3" t="s">
        <v>290</v>
      </c>
      <c r="C268" s="3" t="s">
        <v>11</v>
      </c>
      <c r="D268" s="3" t="s">
        <v>21</v>
      </c>
      <c r="E268" s="3">
        <v>52320</v>
      </c>
      <c r="F268" s="3">
        <v>191280</v>
      </c>
      <c r="G268" s="3" t="s">
        <v>13</v>
      </c>
      <c r="H268" s="3" t="s">
        <v>14</v>
      </c>
      <c r="I268" s="3">
        <v>827</v>
      </c>
      <c r="J268" s="5" t="s">
        <v>15</v>
      </c>
      <c r="K268" s="3" t="str">
        <f t="shared" si="4"/>
        <v>Eligible</v>
      </c>
    </row>
    <row r="269" spans="1:11" x14ac:dyDescent="0.35">
      <c r="A269" s="4">
        <v>268</v>
      </c>
      <c r="B269" s="3" t="s">
        <v>291</v>
      </c>
      <c r="C269" s="3" t="s">
        <v>11</v>
      </c>
      <c r="D269" s="3" t="s">
        <v>21</v>
      </c>
      <c r="E269" s="3">
        <v>25388</v>
      </c>
      <c r="F269" s="3">
        <v>165262</v>
      </c>
      <c r="G269" s="3" t="s">
        <v>22</v>
      </c>
      <c r="H269" s="3" t="s">
        <v>14</v>
      </c>
      <c r="I269" s="3">
        <v>717</v>
      </c>
      <c r="J269" s="5" t="s">
        <v>24</v>
      </c>
      <c r="K269" s="3" t="str">
        <f t="shared" si="4"/>
        <v>Review</v>
      </c>
    </row>
    <row r="270" spans="1:11" x14ac:dyDescent="0.35">
      <c r="A270" s="4">
        <v>269</v>
      </c>
      <c r="B270" s="3" t="s">
        <v>292</v>
      </c>
      <c r="C270" s="3" t="s">
        <v>17</v>
      </c>
      <c r="D270" s="3" t="s">
        <v>18</v>
      </c>
      <c r="E270" s="3">
        <v>32819</v>
      </c>
      <c r="F270" s="3">
        <v>371394</v>
      </c>
      <c r="G270" s="3" t="s">
        <v>22</v>
      </c>
      <c r="H270" s="3" t="s">
        <v>14</v>
      </c>
      <c r="I270" s="3">
        <v>375</v>
      </c>
      <c r="J270" s="5" t="s">
        <v>15</v>
      </c>
      <c r="K270" s="3" t="str">
        <f t="shared" si="4"/>
        <v>Review</v>
      </c>
    </row>
    <row r="271" spans="1:11" x14ac:dyDescent="0.35">
      <c r="A271" s="4">
        <v>270</v>
      </c>
      <c r="B271" s="3" t="s">
        <v>293</v>
      </c>
      <c r="C271" s="3" t="s">
        <v>11</v>
      </c>
      <c r="D271" s="3" t="s">
        <v>12</v>
      </c>
      <c r="E271" s="3">
        <v>119331</v>
      </c>
      <c r="F271" s="3">
        <v>25157</v>
      </c>
      <c r="G271" s="3" t="s">
        <v>13</v>
      </c>
      <c r="H271" s="3" t="s">
        <v>23</v>
      </c>
      <c r="I271" s="3">
        <v>711</v>
      </c>
      <c r="J271" s="5" t="s">
        <v>24</v>
      </c>
      <c r="K271" s="3" t="str">
        <f t="shared" si="4"/>
        <v>Eligible</v>
      </c>
    </row>
    <row r="272" spans="1:11" x14ac:dyDescent="0.35">
      <c r="A272" s="4">
        <v>271</v>
      </c>
      <c r="B272" s="3" t="s">
        <v>294</v>
      </c>
      <c r="C272" s="3" t="s">
        <v>11</v>
      </c>
      <c r="D272" s="3" t="s">
        <v>21</v>
      </c>
      <c r="E272" s="3">
        <v>91032</v>
      </c>
      <c r="F272" s="3">
        <v>431809</v>
      </c>
      <c r="G272" s="3" t="s">
        <v>13</v>
      </c>
      <c r="H272" s="3" t="s">
        <v>19</v>
      </c>
      <c r="I272" s="3">
        <v>820</v>
      </c>
      <c r="J272" s="5" t="s">
        <v>24</v>
      </c>
      <c r="K272" s="3" t="str">
        <f t="shared" si="4"/>
        <v>Eligible</v>
      </c>
    </row>
    <row r="273" spans="1:11" x14ac:dyDescent="0.35">
      <c r="A273" s="4">
        <v>272</v>
      </c>
      <c r="B273" s="3" t="s">
        <v>295</v>
      </c>
      <c r="C273" s="3" t="s">
        <v>17</v>
      </c>
      <c r="D273" s="3" t="s">
        <v>21</v>
      </c>
      <c r="E273" s="3">
        <v>72660</v>
      </c>
      <c r="F273" s="3">
        <v>166881</v>
      </c>
      <c r="G273" s="3" t="s">
        <v>13</v>
      </c>
      <c r="H273" s="3" t="s">
        <v>26</v>
      </c>
      <c r="I273" s="3">
        <v>819</v>
      </c>
      <c r="J273" s="5" t="s">
        <v>15</v>
      </c>
      <c r="K273" s="3" t="str">
        <f t="shared" si="4"/>
        <v>Eligible</v>
      </c>
    </row>
    <row r="274" spans="1:11" x14ac:dyDescent="0.35">
      <c r="A274" s="4">
        <v>273</v>
      </c>
      <c r="B274" s="3" t="s">
        <v>296</v>
      </c>
      <c r="C274" s="3" t="s">
        <v>17</v>
      </c>
      <c r="D274" s="3" t="s">
        <v>18</v>
      </c>
      <c r="E274" s="3">
        <v>26456</v>
      </c>
      <c r="F274" s="3">
        <v>335666</v>
      </c>
      <c r="G274" s="3" t="s">
        <v>22</v>
      </c>
      <c r="H274" s="3" t="s">
        <v>26</v>
      </c>
      <c r="I274" s="3">
        <v>533</v>
      </c>
      <c r="J274" s="5" t="s">
        <v>15</v>
      </c>
      <c r="K274" s="3" t="str">
        <f t="shared" si="4"/>
        <v>Review</v>
      </c>
    </row>
    <row r="275" spans="1:11" x14ac:dyDescent="0.35">
      <c r="A275" s="4">
        <v>274</v>
      </c>
      <c r="B275" s="3" t="s">
        <v>297</v>
      </c>
      <c r="C275" s="3" t="s">
        <v>11</v>
      </c>
      <c r="D275" s="3" t="s">
        <v>18</v>
      </c>
      <c r="E275" s="3">
        <v>80522</v>
      </c>
      <c r="F275" s="3">
        <v>481612</v>
      </c>
      <c r="G275" s="3" t="s">
        <v>13</v>
      </c>
      <c r="H275" s="3" t="s">
        <v>14</v>
      </c>
      <c r="I275" s="3">
        <v>646</v>
      </c>
      <c r="J275" s="5" t="s">
        <v>32</v>
      </c>
      <c r="K275" s="3" t="str">
        <f t="shared" si="4"/>
        <v>Eligible</v>
      </c>
    </row>
    <row r="276" spans="1:11" x14ac:dyDescent="0.35">
      <c r="A276" s="4">
        <v>275</v>
      </c>
      <c r="B276" s="3" t="s">
        <v>298</v>
      </c>
      <c r="C276" s="3" t="s">
        <v>17</v>
      </c>
      <c r="D276" s="3" t="s">
        <v>12</v>
      </c>
      <c r="E276" s="3">
        <v>24641</v>
      </c>
      <c r="F276" s="3">
        <v>185547</v>
      </c>
      <c r="G276" s="3" t="s">
        <v>22</v>
      </c>
      <c r="H276" s="3" t="s">
        <v>23</v>
      </c>
      <c r="I276" s="3">
        <v>624</v>
      </c>
      <c r="J276" s="5" t="s">
        <v>24</v>
      </c>
      <c r="K276" s="3" t="str">
        <f t="shared" si="4"/>
        <v>Review</v>
      </c>
    </row>
    <row r="277" spans="1:11" x14ac:dyDescent="0.35">
      <c r="A277" s="4">
        <v>276</v>
      </c>
      <c r="B277" s="3" t="s">
        <v>299</v>
      </c>
      <c r="C277" s="3" t="s">
        <v>11</v>
      </c>
      <c r="D277" s="3" t="s">
        <v>21</v>
      </c>
      <c r="E277" s="3">
        <v>36798</v>
      </c>
      <c r="F277" s="3">
        <v>433338</v>
      </c>
      <c r="G277" s="3" t="s">
        <v>22</v>
      </c>
      <c r="H277" s="3" t="s">
        <v>23</v>
      </c>
      <c r="I277" s="3">
        <v>492</v>
      </c>
      <c r="J277" s="5" t="s">
        <v>15</v>
      </c>
      <c r="K277" s="3" t="str">
        <f t="shared" si="4"/>
        <v>Review</v>
      </c>
    </row>
    <row r="278" spans="1:11" x14ac:dyDescent="0.35">
      <c r="A278" s="4">
        <v>277</v>
      </c>
      <c r="B278" s="3" t="s">
        <v>300</v>
      </c>
      <c r="C278" s="3" t="s">
        <v>11</v>
      </c>
      <c r="D278" s="3" t="s">
        <v>21</v>
      </c>
      <c r="E278" s="3">
        <v>94274</v>
      </c>
      <c r="F278" s="3">
        <v>152351</v>
      </c>
      <c r="G278" s="3" t="s">
        <v>22</v>
      </c>
      <c r="H278" s="3" t="s">
        <v>23</v>
      </c>
      <c r="I278" s="3">
        <v>560</v>
      </c>
      <c r="J278" s="5" t="s">
        <v>15</v>
      </c>
      <c r="K278" s="3" t="str">
        <f t="shared" si="4"/>
        <v>Review</v>
      </c>
    </row>
    <row r="279" spans="1:11" x14ac:dyDescent="0.35">
      <c r="A279" s="4">
        <v>278</v>
      </c>
      <c r="B279" s="3" t="s">
        <v>301</v>
      </c>
      <c r="C279" s="3" t="s">
        <v>11</v>
      </c>
      <c r="D279" s="3" t="s">
        <v>12</v>
      </c>
      <c r="E279" s="3">
        <v>35211</v>
      </c>
      <c r="F279" s="3">
        <v>116267</v>
      </c>
      <c r="G279" s="3" t="s">
        <v>22</v>
      </c>
      <c r="H279" s="3" t="s">
        <v>19</v>
      </c>
      <c r="I279" s="3">
        <v>872</v>
      </c>
      <c r="J279" s="5" t="s">
        <v>24</v>
      </c>
      <c r="K279" s="3" t="str">
        <f t="shared" si="4"/>
        <v>Review</v>
      </c>
    </row>
    <row r="280" spans="1:11" x14ac:dyDescent="0.35">
      <c r="A280" s="4">
        <v>279</v>
      </c>
      <c r="B280" s="3" t="s">
        <v>302</v>
      </c>
      <c r="C280" s="3" t="s">
        <v>17</v>
      </c>
      <c r="D280" s="3" t="s">
        <v>21</v>
      </c>
      <c r="E280" s="3">
        <v>27880</v>
      </c>
      <c r="F280" s="3">
        <v>41626</v>
      </c>
      <c r="G280" s="3" t="s">
        <v>13</v>
      </c>
      <c r="H280" s="3" t="s">
        <v>23</v>
      </c>
      <c r="I280" s="3">
        <v>679</v>
      </c>
      <c r="J280" s="5" t="s">
        <v>15</v>
      </c>
      <c r="K280" s="3" t="str">
        <f t="shared" si="4"/>
        <v>Review</v>
      </c>
    </row>
    <row r="281" spans="1:11" x14ac:dyDescent="0.35">
      <c r="A281" s="4">
        <v>280</v>
      </c>
      <c r="B281" s="3" t="s">
        <v>303</v>
      </c>
      <c r="C281" s="3" t="s">
        <v>17</v>
      </c>
      <c r="D281" s="3" t="s">
        <v>21</v>
      </c>
      <c r="E281" s="3">
        <v>70873</v>
      </c>
      <c r="F281" s="3">
        <v>299238</v>
      </c>
      <c r="G281" s="3" t="s">
        <v>22</v>
      </c>
      <c r="H281" s="3" t="s">
        <v>14</v>
      </c>
      <c r="I281" s="3">
        <v>418</v>
      </c>
      <c r="J281" s="5" t="s">
        <v>15</v>
      </c>
      <c r="K281" s="3" t="str">
        <f t="shared" si="4"/>
        <v>Review</v>
      </c>
    </row>
    <row r="282" spans="1:11" x14ac:dyDescent="0.35">
      <c r="A282" s="4">
        <v>281</v>
      </c>
      <c r="B282" s="3" t="s">
        <v>304</v>
      </c>
      <c r="C282" s="3" t="s">
        <v>11</v>
      </c>
      <c r="D282" s="3" t="s">
        <v>21</v>
      </c>
      <c r="E282" s="3">
        <v>36700</v>
      </c>
      <c r="F282" s="3">
        <v>487559</v>
      </c>
      <c r="G282" s="3" t="s">
        <v>13</v>
      </c>
      <c r="H282" s="3" t="s">
        <v>19</v>
      </c>
      <c r="I282" s="3">
        <v>316</v>
      </c>
      <c r="J282" s="5" t="s">
        <v>32</v>
      </c>
      <c r="K282" s="3" t="str">
        <f t="shared" si="4"/>
        <v>Review</v>
      </c>
    </row>
    <row r="283" spans="1:11" x14ac:dyDescent="0.35">
      <c r="A283" s="4">
        <v>282</v>
      </c>
      <c r="B283" s="3" t="s">
        <v>305</v>
      </c>
      <c r="C283" s="3" t="s">
        <v>17</v>
      </c>
      <c r="D283" s="3" t="s">
        <v>21</v>
      </c>
      <c r="E283" s="3">
        <v>99755</v>
      </c>
      <c r="F283" s="3">
        <v>423778</v>
      </c>
      <c r="G283" s="3" t="s">
        <v>13</v>
      </c>
      <c r="H283" s="3" t="s">
        <v>23</v>
      </c>
      <c r="I283" s="3">
        <v>635</v>
      </c>
      <c r="J283" s="5" t="s">
        <v>32</v>
      </c>
      <c r="K283" s="3" t="str">
        <f t="shared" si="4"/>
        <v>Eligible</v>
      </c>
    </row>
    <row r="284" spans="1:11" x14ac:dyDescent="0.35">
      <c r="A284" s="4">
        <v>283</v>
      </c>
      <c r="B284" s="3" t="s">
        <v>306</v>
      </c>
      <c r="C284" s="3" t="s">
        <v>17</v>
      </c>
      <c r="D284" s="3" t="s">
        <v>21</v>
      </c>
      <c r="E284" s="3">
        <v>71293</v>
      </c>
      <c r="F284" s="3">
        <v>247341</v>
      </c>
      <c r="G284" s="3" t="s">
        <v>13</v>
      </c>
      <c r="H284" s="3" t="s">
        <v>23</v>
      </c>
      <c r="I284" s="3">
        <v>856</v>
      </c>
      <c r="J284" s="5" t="s">
        <v>24</v>
      </c>
      <c r="K284" s="3" t="str">
        <f t="shared" si="4"/>
        <v>Eligible</v>
      </c>
    </row>
    <row r="285" spans="1:11" x14ac:dyDescent="0.35">
      <c r="A285" s="4">
        <v>284</v>
      </c>
      <c r="B285" s="3" t="s">
        <v>307</v>
      </c>
      <c r="C285" s="3" t="s">
        <v>17</v>
      </c>
      <c r="D285" s="3" t="s">
        <v>12</v>
      </c>
      <c r="E285" s="3">
        <v>99410</v>
      </c>
      <c r="F285" s="3">
        <v>452100</v>
      </c>
      <c r="G285" s="3" t="s">
        <v>22</v>
      </c>
      <c r="H285" s="3" t="s">
        <v>23</v>
      </c>
      <c r="I285" s="3">
        <v>863</v>
      </c>
      <c r="J285" s="5" t="s">
        <v>15</v>
      </c>
      <c r="K285" s="3" t="str">
        <f t="shared" si="4"/>
        <v>Review</v>
      </c>
    </row>
    <row r="286" spans="1:11" x14ac:dyDescent="0.35">
      <c r="A286" s="4">
        <v>285</v>
      </c>
      <c r="B286" s="3" t="s">
        <v>308</v>
      </c>
      <c r="C286" s="3" t="s">
        <v>11</v>
      </c>
      <c r="D286" s="3" t="s">
        <v>18</v>
      </c>
      <c r="E286" s="3">
        <v>20387</v>
      </c>
      <c r="F286" s="3">
        <v>182549</v>
      </c>
      <c r="G286" s="3" t="s">
        <v>13</v>
      </c>
      <c r="H286" s="3" t="s">
        <v>14</v>
      </c>
      <c r="I286" s="3">
        <v>351</v>
      </c>
      <c r="J286" s="5" t="s">
        <v>24</v>
      </c>
      <c r="K286" s="3" t="str">
        <f t="shared" si="4"/>
        <v>Review</v>
      </c>
    </row>
    <row r="287" spans="1:11" x14ac:dyDescent="0.35">
      <c r="A287" s="4">
        <v>286</v>
      </c>
      <c r="B287" s="3" t="s">
        <v>309</v>
      </c>
      <c r="C287" s="3" t="s">
        <v>17</v>
      </c>
      <c r="D287" s="3" t="s">
        <v>18</v>
      </c>
      <c r="E287" s="3">
        <v>59784</v>
      </c>
      <c r="F287" s="3">
        <v>461545</v>
      </c>
      <c r="G287" s="3" t="s">
        <v>22</v>
      </c>
      <c r="H287" s="3" t="s">
        <v>26</v>
      </c>
      <c r="I287" s="3">
        <v>693</v>
      </c>
      <c r="J287" s="5" t="s">
        <v>24</v>
      </c>
      <c r="K287" s="3" t="str">
        <f t="shared" si="4"/>
        <v>Review</v>
      </c>
    </row>
    <row r="288" spans="1:11" x14ac:dyDescent="0.35">
      <c r="A288" s="4">
        <v>287</v>
      </c>
      <c r="B288" s="3" t="s">
        <v>310</v>
      </c>
      <c r="C288" s="3" t="s">
        <v>11</v>
      </c>
      <c r="D288" s="3" t="s">
        <v>18</v>
      </c>
      <c r="E288" s="3">
        <v>99319</v>
      </c>
      <c r="F288" s="3">
        <v>364193</v>
      </c>
      <c r="G288" s="3" t="s">
        <v>22</v>
      </c>
      <c r="H288" s="3" t="s">
        <v>26</v>
      </c>
      <c r="I288" s="3">
        <v>623</v>
      </c>
      <c r="J288" s="5" t="s">
        <v>24</v>
      </c>
      <c r="K288" s="3" t="str">
        <f t="shared" si="4"/>
        <v>Review</v>
      </c>
    </row>
    <row r="289" spans="1:11" x14ac:dyDescent="0.35">
      <c r="A289" s="4">
        <v>288</v>
      </c>
      <c r="B289" s="3" t="s">
        <v>311</v>
      </c>
      <c r="C289" s="3" t="s">
        <v>17</v>
      </c>
      <c r="D289" s="3" t="s">
        <v>21</v>
      </c>
      <c r="E289" s="3">
        <v>50820</v>
      </c>
      <c r="F289" s="3">
        <v>145411</v>
      </c>
      <c r="G289" s="3" t="s">
        <v>22</v>
      </c>
      <c r="H289" s="3" t="s">
        <v>23</v>
      </c>
      <c r="I289" s="3">
        <v>530</v>
      </c>
      <c r="J289" s="5" t="s">
        <v>24</v>
      </c>
      <c r="K289" s="3" t="str">
        <f t="shared" si="4"/>
        <v>Review</v>
      </c>
    </row>
    <row r="290" spans="1:11" x14ac:dyDescent="0.35">
      <c r="A290" s="4">
        <v>289</v>
      </c>
      <c r="B290" s="3" t="s">
        <v>312</v>
      </c>
      <c r="C290" s="3" t="s">
        <v>17</v>
      </c>
      <c r="D290" s="3" t="s">
        <v>12</v>
      </c>
      <c r="E290" s="3">
        <v>47686</v>
      </c>
      <c r="F290" s="3">
        <v>353219</v>
      </c>
      <c r="G290" s="3" t="s">
        <v>22</v>
      </c>
      <c r="H290" s="3" t="s">
        <v>19</v>
      </c>
      <c r="I290" s="3">
        <v>592</v>
      </c>
      <c r="J290" s="5" t="s">
        <v>32</v>
      </c>
      <c r="K290" s="3" t="str">
        <f t="shared" si="4"/>
        <v>Review</v>
      </c>
    </row>
    <row r="291" spans="1:11" x14ac:dyDescent="0.35">
      <c r="A291" s="4">
        <v>290</v>
      </c>
      <c r="B291" s="3" t="s">
        <v>313</v>
      </c>
      <c r="C291" s="3" t="s">
        <v>11</v>
      </c>
      <c r="D291" s="3" t="s">
        <v>18</v>
      </c>
      <c r="E291" s="3">
        <v>79465</v>
      </c>
      <c r="F291" s="3">
        <v>290336</v>
      </c>
      <c r="G291" s="3" t="s">
        <v>22</v>
      </c>
      <c r="H291" s="3" t="s">
        <v>23</v>
      </c>
      <c r="I291" s="3">
        <v>818</v>
      </c>
      <c r="J291" s="5" t="s">
        <v>24</v>
      </c>
      <c r="K291" s="3" t="str">
        <f t="shared" si="4"/>
        <v>Review</v>
      </c>
    </row>
    <row r="292" spans="1:11" x14ac:dyDescent="0.35">
      <c r="A292" s="4">
        <v>291</v>
      </c>
      <c r="B292" s="3" t="s">
        <v>314</v>
      </c>
      <c r="C292" s="3" t="s">
        <v>11</v>
      </c>
      <c r="D292" s="3" t="s">
        <v>21</v>
      </c>
      <c r="E292" s="3">
        <v>57322</v>
      </c>
      <c r="F292" s="3">
        <v>33691</v>
      </c>
      <c r="G292" s="3" t="s">
        <v>22</v>
      </c>
      <c r="H292" s="3" t="s">
        <v>14</v>
      </c>
      <c r="I292" s="3">
        <v>485</v>
      </c>
      <c r="J292" s="5" t="s">
        <v>24</v>
      </c>
      <c r="K292" s="3" t="str">
        <f t="shared" si="4"/>
        <v>Review</v>
      </c>
    </row>
    <row r="293" spans="1:11" x14ac:dyDescent="0.35">
      <c r="A293" s="4">
        <v>292</v>
      </c>
      <c r="B293" s="3" t="s">
        <v>315</v>
      </c>
      <c r="C293" s="3" t="s">
        <v>11</v>
      </c>
      <c r="D293" s="3" t="s">
        <v>21</v>
      </c>
      <c r="E293" s="3">
        <v>41815</v>
      </c>
      <c r="F293" s="3">
        <v>349098</v>
      </c>
      <c r="G293" s="3" t="s">
        <v>13</v>
      </c>
      <c r="H293" s="3" t="s">
        <v>19</v>
      </c>
      <c r="I293" s="3">
        <v>523</v>
      </c>
      <c r="J293" s="5" t="s">
        <v>32</v>
      </c>
      <c r="K293" s="3" t="str">
        <f t="shared" si="4"/>
        <v>Review</v>
      </c>
    </row>
    <row r="294" spans="1:11" x14ac:dyDescent="0.35">
      <c r="A294" s="4">
        <v>293</v>
      </c>
      <c r="B294" s="3" t="s">
        <v>316</v>
      </c>
      <c r="C294" s="3" t="s">
        <v>17</v>
      </c>
      <c r="D294" s="3" t="s">
        <v>12</v>
      </c>
      <c r="E294" s="3">
        <v>36440</v>
      </c>
      <c r="F294" s="3">
        <v>409022</v>
      </c>
      <c r="G294" s="3" t="s">
        <v>22</v>
      </c>
      <c r="H294" s="3" t="s">
        <v>14</v>
      </c>
      <c r="I294" s="3">
        <v>778</v>
      </c>
      <c r="J294" s="5" t="s">
        <v>15</v>
      </c>
      <c r="K294" s="3" t="str">
        <f t="shared" si="4"/>
        <v>Review</v>
      </c>
    </row>
    <row r="295" spans="1:11" x14ac:dyDescent="0.35">
      <c r="A295" s="4">
        <v>294</v>
      </c>
      <c r="B295" s="3" t="s">
        <v>317</v>
      </c>
      <c r="C295" s="3" t="s">
        <v>17</v>
      </c>
      <c r="D295" s="3" t="s">
        <v>21</v>
      </c>
      <c r="E295" s="3">
        <v>58353</v>
      </c>
      <c r="F295" s="3">
        <v>93491</v>
      </c>
      <c r="G295" s="3" t="s">
        <v>22</v>
      </c>
      <c r="H295" s="3" t="s">
        <v>23</v>
      </c>
      <c r="I295" s="3">
        <v>791</v>
      </c>
      <c r="J295" s="5" t="s">
        <v>32</v>
      </c>
      <c r="K295" s="3" t="str">
        <f t="shared" si="4"/>
        <v>Review</v>
      </c>
    </row>
    <row r="296" spans="1:11" x14ac:dyDescent="0.35">
      <c r="A296" s="4">
        <v>295</v>
      </c>
      <c r="B296" s="3" t="s">
        <v>318</v>
      </c>
      <c r="C296" s="3" t="s">
        <v>11</v>
      </c>
      <c r="D296" s="3" t="s">
        <v>18</v>
      </c>
      <c r="E296" s="3">
        <v>29891</v>
      </c>
      <c r="F296" s="3">
        <v>396075</v>
      </c>
      <c r="G296" s="3" t="s">
        <v>22</v>
      </c>
      <c r="H296" s="3" t="s">
        <v>14</v>
      </c>
      <c r="I296" s="3">
        <v>615</v>
      </c>
      <c r="J296" s="5" t="s">
        <v>15</v>
      </c>
      <c r="K296" s="3" t="str">
        <f t="shared" si="4"/>
        <v>Review</v>
      </c>
    </row>
    <row r="297" spans="1:11" x14ac:dyDescent="0.35">
      <c r="A297" s="4">
        <v>296</v>
      </c>
      <c r="B297" s="3" t="s">
        <v>319</v>
      </c>
      <c r="C297" s="3" t="s">
        <v>11</v>
      </c>
      <c r="D297" s="3" t="s">
        <v>18</v>
      </c>
      <c r="E297" s="3">
        <v>87364</v>
      </c>
      <c r="F297" s="3">
        <v>95886</v>
      </c>
      <c r="G297" s="3" t="s">
        <v>13</v>
      </c>
      <c r="H297" s="3" t="s">
        <v>23</v>
      </c>
      <c r="I297" s="3">
        <v>479</v>
      </c>
      <c r="J297" s="5" t="s">
        <v>32</v>
      </c>
      <c r="K297" s="3" t="str">
        <f t="shared" si="4"/>
        <v>Eligible</v>
      </c>
    </row>
    <row r="298" spans="1:11" x14ac:dyDescent="0.35">
      <c r="A298" s="4">
        <v>297</v>
      </c>
      <c r="B298" s="3" t="s">
        <v>320</v>
      </c>
      <c r="C298" s="3" t="s">
        <v>11</v>
      </c>
      <c r="D298" s="3" t="s">
        <v>18</v>
      </c>
      <c r="E298" s="3">
        <v>40746</v>
      </c>
      <c r="F298" s="3">
        <v>332645</v>
      </c>
      <c r="G298" s="3" t="s">
        <v>22</v>
      </c>
      <c r="H298" s="3" t="s">
        <v>23</v>
      </c>
      <c r="I298" s="3">
        <v>501</v>
      </c>
      <c r="J298" s="5" t="s">
        <v>24</v>
      </c>
      <c r="K298" s="3" t="str">
        <f t="shared" si="4"/>
        <v>Review</v>
      </c>
    </row>
    <row r="299" spans="1:11" x14ac:dyDescent="0.35">
      <c r="A299" s="4">
        <v>298</v>
      </c>
      <c r="B299" s="3" t="s">
        <v>321</v>
      </c>
      <c r="C299" s="3" t="s">
        <v>11</v>
      </c>
      <c r="D299" s="3" t="s">
        <v>18</v>
      </c>
      <c r="E299" s="3">
        <v>24962</v>
      </c>
      <c r="F299" s="3">
        <v>188749</v>
      </c>
      <c r="G299" s="3" t="s">
        <v>13</v>
      </c>
      <c r="H299" s="3" t="s">
        <v>19</v>
      </c>
      <c r="I299" s="3">
        <v>681</v>
      </c>
      <c r="J299" s="5" t="s">
        <v>24</v>
      </c>
      <c r="K299" s="3" t="str">
        <f t="shared" si="4"/>
        <v>Review</v>
      </c>
    </row>
    <row r="300" spans="1:11" x14ac:dyDescent="0.35">
      <c r="A300" s="4">
        <v>299</v>
      </c>
      <c r="B300" s="3" t="s">
        <v>322</v>
      </c>
      <c r="C300" s="3" t="s">
        <v>17</v>
      </c>
      <c r="D300" s="3" t="s">
        <v>18</v>
      </c>
      <c r="E300" s="3">
        <v>82827</v>
      </c>
      <c r="F300" s="3">
        <v>149823</v>
      </c>
      <c r="G300" s="3" t="s">
        <v>13</v>
      </c>
      <c r="H300" s="3" t="s">
        <v>19</v>
      </c>
      <c r="I300" s="3">
        <v>378</v>
      </c>
      <c r="J300" s="5" t="s">
        <v>15</v>
      </c>
      <c r="K300" s="3" t="str">
        <f t="shared" si="4"/>
        <v>Eligible</v>
      </c>
    </row>
    <row r="301" spans="1:11" x14ac:dyDescent="0.35">
      <c r="A301" s="4">
        <v>300</v>
      </c>
      <c r="B301" s="3" t="s">
        <v>323</v>
      </c>
      <c r="C301" s="3" t="s">
        <v>17</v>
      </c>
      <c r="D301" s="3" t="s">
        <v>18</v>
      </c>
      <c r="E301" s="3">
        <v>55970</v>
      </c>
      <c r="F301" s="3">
        <v>24841</v>
      </c>
      <c r="G301" s="3" t="s">
        <v>13</v>
      </c>
      <c r="H301" s="3" t="s">
        <v>26</v>
      </c>
      <c r="I301" s="3">
        <v>694</v>
      </c>
      <c r="J301" s="5" t="s">
        <v>24</v>
      </c>
      <c r="K301" s="3" t="str">
        <f t="shared" si="4"/>
        <v>Eligible</v>
      </c>
    </row>
    <row r="302" spans="1:11" x14ac:dyDescent="0.35">
      <c r="A302" s="4">
        <v>301</v>
      </c>
      <c r="B302" s="3" t="s">
        <v>324</v>
      </c>
      <c r="C302" s="3" t="s">
        <v>17</v>
      </c>
      <c r="D302" s="3" t="s">
        <v>12</v>
      </c>
      <c r="E302" s="3">
        <v>48302</v>
      </c>
      <c r="F302" s="3">
        <v>180550</v>
      </c>
      <c r="G302" s="3" t="s">
        <v>22</v>
      </c>
      <c r="H302" s="3" t="s">
        <v>14</v>
      </c>
      <c r="I302" s="3">
        <v>813</v>
      </c>
      <c r="J302" s="5" t="s">
        <v>24</v>
      </c>
      <c r="K302" s="3" t="str">
        <f t="shared" si="4"/>
        <v>Review</v>
      </c>
    </row>
    <row r="303" spans="1:11" x14ac:dyDescent="0.35">
      <c r="A303" s="4">
        <v>302</v>
      </c>
      <c r="B303" s="3" t="s">
        <v>325</v>
      </c>
      <c r="C303" s="3" t="s">
        <v>11</v>
      </c>
      <c r="D303" s="3" t="s">
        <v>21</v>
      </c>
      <c r="E303" s="3">
        <v>29605</v>
      </c>
      <c r="F303" s="3">
        <v>315951</v>
      </c>
      <c r="G303" s="3" t="s">
        <v>13</v>
      </c>
      <c r="H303" s="3" t="s">
        <v>26</v>
      </c>
      <c r="I303" s="3">
        <v>335</v>
      </c>
      <c r="J303" s="5" t="s">
        <v>24</v>
      </c>
      <c r="K303" s="3" t="str">
        <f t="shared" si="4"/>
        <v>Review</v>
      </c>
    </row>
    <row r="304" spans="1:11" x14ac:dyDescent="0.35">
      <c r="A304" s="4">
        <v>303</v>
      </c>
      <c r="B304" s="3" t="s">
        <v>326</v>
      </c>
      <c r="C304" s="3" t="s">
        <v>11</v>
      </c>
      <c r="D304" s="3" t="s">
        <v>21</v>
      </c>
      <c r="E304" s="3">
        <v>68119</v>
      </c>
      <c r="F304" s="3">
        <v>252363</v>
      </c>
      <c r="G304" s="3" t="s">
        <v>13</v>
      </c>
      <c r="H304" s="3" t="s">
        <v>23</v>
      </c>
      <c r="I304" s="3">
        <v>826</v>
      </c>
      <c r="J304" s="5" t="s">
        <v>15</v>
      </c>
      <c r="K304" s="3" t="str">
        <f t="shared" si="4"/>
        <v>Eligible</v>
      </c>
    </row>
    <row r="305" spans="1:11" x14ac:dyDescent="0.35">
      <c r="A305" s="4">
        <v>304</v>
      </c>
      <c r="B305" s="3" t="s">
        <v>327</v>
      </c>
      <c r="C305" s="3" t="s">
        <v>17</v>
      </c>
      <c r="D305" s="3" t="s">
        <v>21</v>
      </c>
      <c r="E305" s="3">
        <v>78789</v>
      </c>
      <c r="F305" s="3">
        <v>226806</v>
      </c>
      <c r="G305" s="3" t="s">
        <v>13</v>
      </c>
      <c r="H305" s="3" t="s">
        <v>26</v>
      </c>
      <c r="I305" s="3">
        <v>487</v>
      </c>
      <c r="J305" s="5" t="s">
        <v>24</v>
      </c>
      <c r="K305" s="3" t="str">
        <f t="shared" si="4"/>
        <v>Eligible</v>
      </c>
    </row>
    <row r="306" spans="1:11" x14ac:dyDescent="0.35">
      <c r="A306" s="4">
        <v>305</v>
      </c>
      <c r="B306" s="3" t="s">
        <v>328</v>
      </c>
      <c r="C306" s="3" t="s">
        <v>11</v>
      </c>
      <c r="D306" s="3" t="s">
        <v>18</v>
      </c>
      <c r="E306" s="3">
        <v>52562</v>
      </c>
      <c r="F306" s="3">
        <v>384103</v>
      </c>
      <c r="G306" s="3" t="s">
        <v>13</v>
      </c>
      <c r="H306" s="3" t="s">
        <v>23</v>
      </c>
      <c r="I306" s="3">
        <v>578</v>
      </c>
      <c r="J306" s="5" t="s">
        <v>32</v>
      </c>
      <c r="K306" s="3" t="str">
        <f t="shared" si="4"/>
        <v>Eligible</v>
      </c>
    </row>
    <row r="307" spans="1:11" x14ac:dyDescent="0.35">
      <c r="A307" s="4">
        <v>306</v>
      </c>
      <c r="B307" s="3" t="s">
        <v>329</v>
      </c>
      <c r="C307" s="3" t="s">
        <v>17</v>
      </c>
      <c r="D307" s="3" t="s">
        <v>18</v>
      </c>
      <c r="E307" s="3">
        <v>56998</v>
      </c>
      <c r="F307" s="3">
        <v>461788</v>
      </c>
      <c r="G307" s="3" t="s">
        <v>13</v>
      </c>
      <c r="H307" s="3" t="s">
        <v>14</v>
      </c>
      <c r="I307" s="3">
        <v>371</v>
      </c>
      <c r="J307" s="5" t="s">
        <v>24</v>
      </c>
      <c r="K307" s="3" t="str">
        <f t="shared" si="4"/>
        <v>Eligible</v>
      </c>
    </row>
    <row r="308" spans="1:11" x14ac:dyDescent="0.35">
      <c r="A308" s="4">
        <v>307</v>
      </c>
      <c r="B308" s="3" t="s">
        <v>330</v>
      </c>
      <c r="C308" s="3" t="s">
        <v>11</v>
      </c>
      <c r="D308" s="3" t="s">
        <v>21</v>
      </c>
      <c r="E308" s="3">
        <v>99817</v>
      </c>
      <c r="F308" s="3">
        <v>340127</v>
      </c>
      <c r="G308" s="3" t="s">
        <v>13</v>
      </c>
      <c r="H308" s="3" t="s">
        <v>26</v>
      </c>
      <c r="I308" s="3">
        <v>597</v>
      </c>
      <c r="J308" s="5" t="s">
        <v>32</v>
      </c>
      <c r="K308" s="3" t="str">
        <f t="shared" si="4"/>
        <v>Eligible</v>
      </c>
    </row>
    <row r="309" spans="1:11" x14ac:dyDescent="0.35">
      <c r="A309" s="4">
        <v>308</v>
      </c>
      <c r="B309" s="3" t="s">
        <v>331</v>
      </c>
      <c r="C309" s="3" t="s">
        <v>11</v>
      </c>
      <c r="D309" s="3" t="s">
        <v>21</v>
      </c>
      <c r="E309" s="3">
        <v>52465</v>
      </c>
      <c r="F309" s="3">
        <v>169612</v>
      </c>
      <c r="G309" s="3" t="s">
        <v>22</v>
      </c>
      <c r="H309" s="3" t="s">
        <v>19</v>
      </c>
      <c r="I309" s="3">
        <v>581</v>
      </c>
      <c r="J309" s="5" t="s">
        <v>24</v>
      </c>
      <c r="K309" s="3" t="str">
        <f t="shared" si="4"/>
        <v>Review</v>
      </c>
    </row>
    <row r="310" spans="1:11" x14ac:dyDescent="0.35">
      <c r="A310" s="4">
        <v>309</v>
      </c>
      <c r="B310" s="3" t="s">
        <v>332</v>
      </c>
      <c r="C310" s="3" t="s">
        <v>17</v>
      </c>
      <c r="D310" s="3" t="s">
        <v>21</v>
      </c>
      <c r="E310" s="3">
        <v>107880</v>
      </c>
      <c r="F310" s="3">
        <v>429814</v>
      </c>
      <c r="G310" s="3" t="s">
        <v>22</v>
      </c>
      <c r="H310" s="3" t="s">
        <v>19</v>
      </c>
      <c r="I310" s="3">
        <v>706</v>
      </c>
      <c r="J310" s="5" t="s">
        <v>32</v>
      </c>
      <c r="K310" s="3" t="str">
        <f t="shared" si="4"/>
        <v>Review</v>
      </c>
    </row>
    <row r="311" spans="1:11" x14ac:dyDescent="0.35">
      <c r="A311" s="4">
        <v>310</v>
      </c>
      <c r="B311" s="3" t="s">
        <v>333</v>
      </c>
      <c r="C311" s="3" t="s">
        <v>17</v>
      </c>
      <c r="D311" s="3" t="s">
        <v>12</v>
      </c>
      <c r="E311" s="3">
        <v>86918</v>
      </c>
      <c r="F311" s="3">
        <v>124902</v>
      </c>
      <c r="G311" s="3" t="s">
        <v>13</v>
      </c>
      <c r="H311" s="3" t="s">
        <v>19</v>
      </c>
      <c r="I311" s="3">
        <v>627</v>
      </c>
      <c r="J311" s="5" t="s">
        <v>32</v>
      </c>
      <c r="K311" s="3" t="str">
        <f t="shared" si="4"/>
        <v>Eligible</v>
      </c>
    </row>
    <row r="312" spans="1:11" x14ac:dyDescent="0.35">
      <c r="A312" s="4">
        <v>311</v>
      </c>
      <c r="B312" s="3" t="s">
        <v>334</v>
      </c>
      <c r="C312" s="3" t="s">
        <v>17</v>
      </c>
      <c r="D312" s="3" t="s">
        <v>12</v>
      </c>
      <c r="E312" s="3">
        <v>87672</v>
      </c>
      <c r="F312" s="3">
        <v>480733</v>
      </c>
      <c r="G312" s="3" t="s">
        <v>22</v>
      </c>
      <c r="H312" s="3" t="s">
        <v>14</v>
      </c>
      <c r="I312" s="3">
        <v>843</v>
      </c>
      <c r="J312" s="5" t="s">
        <v>32</v>
      </c>
      <c r="K312" s="3" t="str">
        <f t="shared" si="4"/>
        <v>Review</v>
      </c>
    </row>
    <row r="313" spans="1:11" x14ac:dyDescent="0.35">
      <c r="A313" s="4">
        <v>312</v>
      </c>
      <c r="B313" s="3" t="s">
        <v>335</v>
      </c>
      <c r="C313" s="3" t="s">
        <v>11</v>
      </c>
      <c r="D313" s="3" t="s">
        <v>12</v>
      </c>
      <c r="E313" s="3">
        <v>115510</v>
      </c>
      <c r="F313" s="3">
        <v>196330</v>
      </c>
      <c r="G313" s="3" t="s">
        <v>22</v>
      </c>
      <c r="H313" s="3" t="s">
        <v>23</v>
      </c>
      <c r="I313" s="3">
        <v>365</v>
      </c>
      <c r="J313" s="5" t="s">
        <v>24</v>
      </c>
      <c r="K313" s="3" t="str">
        <f t="shared" si="4"/>
        <v>Review</v>
      </c>
    </row>
    <row r="314" spans="1:11" x14ac:dyDescent="0.35">
      <c r="A314" s="4">
        <v>313</v>
      </c>
      <c r="B314" s="3" t="s">
        <v>336</v>
      </c>
      <c r="C314" s="3" t="s">
        <v>17</v>
      </c>
      <c r="D314" s="3" t="s">
        <v>21</v>
      </c>
      <c r="E314" s="3">
        <v>39485</v>
      </c>
      <c r="F314" s="3">
        <v>280179</v>
      </c>
      <c r="G314" s="3" t="s">
        <v>22</v>
      </c>
      <c r="H314" s="3" t="s">
        <v>23</v>
      </c>
      <c r="I314" s="3">
        <v>368</v>
      </c>
      <c r="J314" s="5" t="s">
        <v>15</v>
      </c>
      <c r="K314" s="3" t="str">
        <f t="shared" si="4"/>
        <v>Review</v>
      </c>
    </row>
    <row r="315" spans="1:11" x14ac:dyDescent="0.35">
      <c r="A315" s="4">
        <v>314</v>
      </c>
      <c r="B315" s="3" t="s">
        <v>337</v>
      </c>
      <c r="C315" s="3" t="s">
        <v>11</v>
      </c>
      <c r="D315" s="3" t="s">
        <v>18</v>
      </c>
      <c r="E315" s="3">
        <v>21098</v>
      </c>
      <c r="F315" s="3">
        <v>438328</v>
      </c>
      <c r="G315" s="3" t="s">
        <v>13</v>
      </c>
      <c r="H315" s="3" t="s">
        <v>23</v>
      </c>
      <c r="I315" s="3">
        <v>580</v>
      </c>
      <c r="J315" s="5" t="s">
        <v>15</v>
      </c>
      <c r="K315" s="3" t="str">
        <f t="shared" si="4"/>
        <v>Review</v>
      </c>
    </row>
    <row r="316" spans="1:11" x14ac:dyDescent="0.35">
      <c r="A316" s="4">
        <v>315</v>
      </c>
      <c r="B316" s="3" t="s">
        <v>338</v>
      </c>
      <c r="C316" s="3" t="s">
        <v>11</v>
      </c>
      <c r="D316" s="3" t="s">
        <v>12</v>
      </c>
      <c r="E316" s="3">
        <v>75801</v>
      </c>
      <c r="F316" s="3">
        <v>69697</v>
      </c>
      <c r="G316" s="3" t="s">
        <v>13</v>
      </c>
      <c r="H316" s="3" t="s">
        <v>19</v>
      </c>
      <c r="I316" s="3">
        <v>516</v>
      </c>
      <c r="J316" s="5" t="s">
        <v>15</v>
      </c>
      <c r="K316" s="3" t="str">
        <f t="shared" si="4"/>
        <v>Eligible</v>
      </c>
    </row>
    <row r="317" spans="1:11" x14ac:dyDescent="0.35">
      <c r="A317" s="4">
        <v>316</v>
      </c>
      <c r="B317" s="3" t="s">
        <v>339</v>
      </c>
      <c r="C317" s="3" t="s">
        <v>11</v>
      </c>
      <c r="D317" s="3" t="s">
        <v>18</v>
      </c>
      <c r="E317" s="3">
        <v>111773</v>
      </c>
      <c r="F317" s="3">
        <v>323316</v>
      </c>
      <c r="G317" s="3" t="s">
        <v>13</v>
      </c>
      <c r="H317" s="3" t="s">
        <v>23</v>
      </c>
      <c r="I317" s="3">
        <v>308</v>
      </c>
      <c r="J317" s="5" t="s">
        <v>32</v>
      </c>
      <c r="K317" s="3" t="str">
        <f t="shared" si="4"/>
        <v>Eligible</v>
      </c>
    </row>
    <row r="318" spans="1:11" x14ac:dyDescent="0.35">
      <c r="A318" s="4">
        <v>317</v>
      </c>
      <c r="B318" s="3" t="s">
        <v>340</v>
      </c>
      <c r="C318" s="3" t="s">
        <v>17</v>
      </c>
      <c r="D318" s="3" t="s">
        <v>18</v>
      </c>
      <c r="E318" s="3">
        <v>97852</v>
      </c>
      <c r="F318" s="3">
        <v>261800</v>
      </c>
      <c r="G318" s="3" t="s">
        <v>13</v>
      </c>
      <c r="H318" s="3" t="s">
        <v>26</v>
      </c>
      <c r="I318" s="3">
        <v>520</v>
      </c>
      <c r="J318" s="5" t="s">
        <v>32</v>
      </c>
      <c r="K318" s="3" t="str">
        <f t="shared" si="4"/>
        <v>Eligible</v>
      </c>
    </row>
    <row r="319" spans="1:11" x14ac:dyDescent="0.35">
      <c r="A319" s="4">
        <v>318</v>
      </c>
      <c r="B319" s="3" t="s">
        <v>341</v>
      </c>
      <c r="C319" s="3" t="s">
        <v>17</v>
      </c>
      <c r="D319" s="3" t="s">
        <v>21</v>
      </c>
      <c r="E319" s="3">
        <v>88865</v>
      </c>
      <c r="F319" s="3">
        <v>141613</v>
      </c>
      <c r="G319" s="3" t="s">
        <v>22</v>
      </c>
      <c r="H319" s="3" t="s">
        <v>23</v>
      </c>
      <c r="I319" s="3">
        <v>641</v>
      </c>
      <c r="J319" s="5" t="s">
        <v>24</v>
      </c>
      <c r="K319" s="3" t="str">
        <f t="shared" si="4"/>
        <v>Review</v>
      </c>
    </row>
    <row r="320" spans="1:11" x14ac:dyDescent="0.35">
      <c r="A320" s="4">
        <v>319</v>
      </c>
      <c r="B320" s="3" t="s">
        <v>342</v>
      </c>
      <c r="C320" s="3" t="s">
        <v>17</v>
      </c>
      <c r="D320" s="3" t="s">
        <v>21</v>
      </c>
      <c r="E320" s="3">
        <v>119147</v>
      </c>
      <c r="F320" s="3">
        <v>72184</v>
      </c>
      <c r="G320" s="3" t="s">
        <v>22</v>
      </c>
      <c r="H320" s="3" t="s">
        <v>26</v>
      </c>
      <c r="I320" s="3">
        <v>486</v>
      </c>
      <c r="J320" s="5" t="s">
        <v>15</v>
      </c>
      <c r="K320" s="3" t="str">
        <f t="shared" si="4"/>
        <v>Review</v>
      </c>
    </row>
    <row r="321" spans="1:11" x14ac:dyDescent="0.35">
      <c r="A321" s="4">
        <v>320</v>
      </c>
      <c r="B321" s="3" t="s">
        <v>343</v>
      </c>
      <c r="C321" s="3" t="s">
        <v>11</v>
      </c>
      <c r="D321" s="3" t="s">
        <v>12</v>
      </c>
      <c r="E321" s="3">
        <v>71823</v>
      </c>
      <c r="F321" s="3">
        <v>31223</v>
      </c>
      <c r="G321" s="3" t="s">
        <v>13</v>
      </c>
      <c r="H321" s="3" t="s">
        <v>14</v>
      </c>
      <c r="I321" s="3">
        <v>718</v>
      </c>
      <c r="J321" s="5" t="s">
        <v>24</v>
      </c>
      <c r="K321" s="3" t="str">
        <f t="shared" si="4"/>
        <v>Eligible</v>
      </c>
    </row>
    <row r="322" spans="1:11" x14ac:dyDescent="0.35">
      <c r="A322" s="4">
        <v>321</v>
      </c>
      <c r="B322" s="3" t="s">
        <v>344</v>
      </c>
      <c r="C322" s="3" t="s">
        <v>17</v>
      </c>
      <c r="D322" s="3" t="s">
        <v>21</v>
      </c>
      <c r="E322" s="3">
        <v>36392</v>
      </c>
      <c r="F322" s="3">
        <v>198220</v>
      </c>
      <c r="G322" s="3" t="s">
        <v>13</v>
      </c>
      <c r="H322" s="3" t="s">
        <v>26</v>
      </c>
      <c r="I322" s="3">
        <v>721</v>
      </c>
      <c r="J322" s="5" t="s">
        <v>24</v>
      </c>
      <c r="K322" s="3" t="str">
        <f t="shared" ref="K322:K385" si="5">IF(AND(E322&gt;50000,G322="Approved"),"Eligible","Review")</f>
        <v>Review</v>
      </c>
    </row>
    <row r="323" spans="1:11" x14ac:dyDescent="0.35">
      <c r="A323" s="4">
        <v>322</v>
      </c>
      <c r="B323" s="3" t="s">
        <v>345</v>
      </c>
      <c r="C323" s="3" t="s">
        <v>17</v>
      </c>
      <c r="D323" s="3" t="s">
        <v>12</v>
      </c>
      <c r="E323" s="3">
        <v>42053</v>
      </c>
      <c r="F323" s="3">
        <v>52908</v>
      </c>
      <c r="G323" s="3" t="s">
        <v>22</v>
      </c>
      <c r="H323" s="3" t="s">
        <v>23</v>
      </c>
      <c r="I323" s="3">
        <v>795</v>
      </c>
      <c r="J323" s="5" t="s">
        <v>15</v>
      </c>
      <c r="K323" s="3" t="str">
        <f t="shared" si="5"/>
        <v>Review</v>
      </c>
    </row>
    <row r="324" spans="1:11" x14ac:dyDescent="0.35">
      <c r="A324" s="4">
        <v>323</v>
      </c>
      <c r="B324" s="3" t="s">
        <v>346</v>
      </c>
      <c r="C324" s="3" t="s">
        <v>17</v>
      </c>
      <c r="D324" s="3" t="s">
        <v>18</v>
      </c>
      <c r="E324" s="3">
        <v>37646</v>
      </c>
      <c r="F324" s="3">
        <v>35899</v>
      </c>
      <c r="G324" s="3" t="s">
        <v>22</v>
      </c>
      <c r="H324" s="3" t="s">
        <v>14</v>
      </c>
      <c r="I324" s="3">
        <v>300</v>
      </c>
      <c r="J324" s="5" t="s">
        <v>24</v>
      </c>
      <c r="K324" s="3" t="str">
        <f t="shared" si="5"/>
        <v>Review</v>
      </c>
    </row>
    <row r="325" spans="1:11" x14ac:dyDescent="0.35">
      <c r="A325" s="4">
        <v>324</v>
      </c>
      <c r="B325" s="3" t="s">
        <v>347</v>
      </c>
      <c r="C325" s="3" t="s">
        <v>17</v>
      </c>
      <c r="D325" s="3" t="s">
        <v>21</v>
      </c>
      <c r="E325" s="3">
        <v>30594</v>
      </c>
      <c r="F325" s="3">
        <v>260603</v>
      </c>
      <c r="G325" s="3" t="s">
        <v>13</v>
      </c>
      <c r="H325" s="3" t="s">
        <v>19</v>
      </c>
      <c r="I325" s="3">
        <v>526</v>
      </c>
      <c r="J325" s="5" t="s">
        <v>15</v>
      </c>
      <c r="K325" s="3" t="str">
        <f t="shared" si="5"/>
        <v>Review</v>
      </c>
    </row>
    <row r="326" spans="1:11" x14ac:dyDescent="0.35">
      <c r="A326" s="4">
        <v>325</v>
      </c>
      <c r="B326" s="3" t="s">
        <v>348</v>
      </c>
      <c r="C326" s="3" t="s">
        <v>17</v>
      </c>
      <c r="D326" s="3" t="s">
        <v>12</v>
      </c>
      <c r="E326" s="3">
        <v>100119</v>
      </c>
      <c r="F326" s="3">
        <v>345453</v>
      </c>
      <c r="G326" s="3" t="s">
        <v>13</v>
      </c>
      <c r="H326" s="3" t="s">
        <v>26</v>
      </c>
      <c r="I326" s="3">
        <v>704</v>
      </c>
      <c r="J326" s="5" t="s">
        <v>24</v>
      </c>
      <c r="K326" s="3" t="str">
        <f t="shared" si="5"/>
        <v>Eligible</v>
      </c>
    </row>
    <row r="327" spans="1:11" x14ac:dyDescent="0.35">
      <c r="A327" s="4">
        <v>326</v>
      </c>
      <c r="B327" s="3" t="s">
        <v>349</v>
      </c>
      <c r="C327" s="3" t="s">
        <v>11</v>
      </c>
      <c r="D327" s="3" t="s">
        <v>21</v>
      </c>
      <c r="E327" s="3">
        <v>39571</v>
      </c>
      <c r="F327" s="3">
        <v>87307</v>
      </c>
      <c r="G327" s="3" t="s">
        <v>22</v>
      </c>
      <c r="H327" s="3" t="s">
        <v>23</v>
      </c>
      <c r="I327" s="3">
        <v>348</v>
      </c>
      <c r="J327" s="5" t="s">
        <v>24</v>
      </c>
      <c r="K327" s="3" t="str">
        <f t="shared" si="5"/>
        <v>Review</v>
      </c>
    </row>
    <row r="328" spans="1:11" x14ac:dyDescent="0.35">
      <c r="A328" s="4">
        <v>327</v>
      </c>
      <c r="B328" s="3" t="s">
        <v>350</v>
      </c>
      <c r="C328" s="3" t="s">
        <v>17</v>
      </c>
      <c r="D328" s="3" t="s">
        <v>12</v>
      </c>
      <c r="E328" s="3">
        <v>78422</v>
      </c>
      <c r="F328" s="3">
        <v>50485</v>
      </c>
      <c r="G328" s="3" t="s">
        <v>13</v>
      </c>
      <c r="H328" s="3" t="s">
        <v>14</v>
      </c>
      <c r="I328" s="3">
        <v>648</v>
      </c>
      <c r="J328" s="5" t="s">
        <v>32</v>
      </c>
      <c r="K328" s="3" t="str">
        <f t="shared" si="5"/>
        <v>Eligible</v>
      </c>
    </row>
    <row r="329" spans="1:11" x14ac:dyDescent="0.35">
      <c r="A329" s="4">
        <v>328</v>
      </c>
      <c r="B329" s="3" t="s">
        <v>351</v>
      </c>
      <c r="C329" s="3" t="s">
        <v>11</v>
      </c>
      <c r="D329" s="3" t="s">
        <v>21</v>
      </c>
      <c r="E329" s="3">
        <v>45917</v>
      </c>
      <c r="F329" s="3">
        <v>448175</v>
      </c>
      <c r="G329" s="3" t="s">
        <v>13</v>
      </c>
      <c r="H329" s="3" t="s">
        <v>14</v>
      </c>
      <c r="I329" s="3">
        <v>718</v>
      </c>
      <c r="J329" s="5" t="s">
        <v>32</v>
      </c>
      <c r="K329" s="3" t="str">
        <f t="shared" si="5"/>
        <v>Review</v>
      </c>
    </row>
    <row r="330" spans="1:11" x14ac:dyDescent="0.35">
      <c r="A330" s="4">
        <v>329</v>
      </c>
      <c r="B330" s="3" t="s">
        <v>352</v>
      </c>
      <c r="C330" s="3" t="s">
        <v>17</v>
      </c>
      <c r="D330" s="3" t="s">
        <v>12</v>
      </c>
      <c r="E330" s="3">
        <v>38301</v>
      </c>
      <c r="F330" s="3">
        <v>176842</v>
      </c>
      <c r="G330" s="3" t="s">
        <v>22</v>
      </c>
      <c r="H330" s="3" t="s">
        <v>19</v>
      </c>
      <c r="I330" s="3">
        <v>855</v>
      </c>
      <c r="J330" s="5" t="s">
        <v>15</v>
      </c>
      <c r="K330" s="3" t="str">
        <f t="shared" si="5"/>
        <v>Review</v>
      </c>
    </row>
    <row r="331" spans="1:11" x14ac:dyDescent="0.35">
      <c r="A331" s="4">
        <v>330</v>
      </c>
      <c r="B331" s="3" t="s">
        <v>353</v>
      </c>
      <c r="C331" s="3" t="s">
        <v>11</v>
      </c>
      <c r="D331" s="3" t="s">
        <v>21</v>
      </c>
      <c r="E331" s="3">
        <v>107164</v>
      </c>
      <c r="F331" s="3">
        <v>27812</v>
      </c>
      <c r="G331" s="3" t="s">
        <v>22</v>
      </c>
      <c r="H331" s="3" t="s">
        <v>26</v>
      </c>
      <c r="I331" s="3">
        <v>886</v>
      </c>
      <c r="J331" s="5" t="s">
        <v>15</v>
      </c>
      <c r="K331" s="3" t="str">
        <f t="shared" si="5"/>
        <v>Review</v>
      </c>
    </row>
    <row r="332" spans="1:11" x14ac:dyDescent="0.35">
      <c r="A332" s="4">
        <v>331</v>
      </c>
      <c r="B332" s="3" t="s">
        <v>354</v>
      </c>
      <c r="C332" s="3" t="s">
        <v>17</v>
      </c>
      <c r="D332" s="3" t="s">
        <v>18</v>
      </c>
      <c r="E332" s="3">
        <v>71993</v>
      </c>
      <c r="F332" s="3">
        <v>132830</v>
      </c>
      <c r="G332" s="3" t="s">
        <v>13</v>
      </c>
      <c r="H332" s="3" t="s">
        <v>26</v>
      </c>
      <c r="I332" s="3">
        <v>491</v>
      </c>
      <c r="J332" s="5" t="s">
        <v>32</v>
      </c>
      <c r="K332" s="3" t="str">
        <f t="shared" si="5"/>
        <v>Eligible</v>
      </c>
    </row>
    <row r="333" spans="1:11" x14ac:dyDescent="0.35">
      <c r="A333" s="4">
        <v>332</v>
      </c>
      <c r="B333" s="3" t="s">
        <v>355</v>
      </c>
      <c r="C333" s="3" t="s">
        <v>17</v>
      </c>
      <c r="D333" s="3" t="s">
        <v>18</v>
      </c>
      <c r="E333" s="3">
        <v>116825</v>
      </c>
      <c r="F333" s="3">
        <v>314339</v>
      </c>
      <c r="G333" s="3" t="s">
        <v>13</v>
      </c>
      <c r="H333" s="3" t="s">
        <v>26</v>
      </c>
      <c r="I333" s="3">
        <v>664</v>
      </c>
      <c r="J333" s="5" t="s">
        <v>15</v>
      </c>
      <c r="K333" s="3" t="str">
        <f t="shared" si="5"/>
        <v>Eligible</v>
      </c>
    </row>
    <row r="334" spans="1:11" x14ac:dyDescent="0.35">
      <c r="A334" s="4">
        <v>333</v>
      </c>
      <c r="B334" s="3" t="s">
        <v>356</v>
      </c>
      <c r="C334" s="3" t="s">
        <v>17</v>
      </c>
      <c r="D334" s="3" t="s">
        <v>12</v>
      </c>
      <c r="E334" s="3">
        <v>52910</v>
      </c>
      <c r="F334" s="3">
        <v>372820</v>
      </c>
      <c r="G334" s="3" t="s">
        <v>22</v>
      </c>
      <c r="H334" s="3" t="s">
        <v>23</v>
      </c>
      <c r="I334" s="3">
        <v>442</v>
      </c>
      <c r="J334" s="5" t="s">
        <v>24</v>
      </c>
      <c r="K334" s="3" t="str">
        <f t="shared" si="5"/>
        <v>Review</v>
      </c>
    </row>
    <row r="335" spans="1:11" x14ac:dyDescent="0.35">
      <c r="A335" s="4">
        <v>334</v>
      </c>
      <c r="B335" s="3" t="s">
        <v>357</v>
      </c>
      <c r="C335" s="3" t="s">
        <v>11</v>
      </c>
      <c r="D335" s="3" t="s">
        <v>12</v>
      </c>
      <c r="E335" s="3">
        <v>103261</v>
      </c>
      <c r="F335" s="3">
        <v>260233</v>
      </c>
      <c r="G335" s="3" t="s">
        <v>13</v>
      </c>
      <c r="H335" s="3" t="s">
        <v>19</v>
      </c>
      <c r="I335" s="3">
        <v>883</v>
      </c>
      <c r="J335" s="5" t="s">
        <v>15</v>
      </c>
      <c r="K335" s="3" t="str">
        <f t="shared" si="5"/>
        <v>Eligible</v>
      </c>
    </row>
    <row r="336" spans="1:11" x14ac:dyDescent="0.35">
      <c r="A336" s="4">
        <v>335</v>
      </c>
      <c r="B336" s="3" t="s">
        <v>358</v>
      </c>
      <c r="C336" s="3" t="s">
        <v>11</v>
      </c>
      <c r="D336" s="3" t="s">
        <v>18</v>
      </c>
      <c r="E336" s="3">
        <v>20427</v>
      </c>
      <c r="F336" s="3">
        <v>265701</v>
      </c>
      <c r="G336" s="3" t="s">
        <v>22</v>
      </c>
      <c r="H336" s="3" t="s">
        <v>14</v>
      </c>
      <c r="I336" s="3">
        <v>516</v>
      </c>
      <c r="J336" s="5" t="s">
        <v>15</v>
      </c>
      <c r="K336" s="3" t="str">
        <f t="shared" si="5"/>
        <v>Review</v>
      </c>
    </row>
    <row r="337" spans="1:11" x14ac:dyDescent="0.35">
      <c r="A337" s="4">
        <v>336</v>
      </c>
      <c r="B337" s="3" t="s">
        <v>359</v>
      </c>
      <c r="C337" s="3" t="s">
        <v>17</v>
      </c>
      <c r="D337" s="3" t="s">
        <v>12</v>
      </c>
      <c r="E337" s="3">
        <v>106490</v>
      </c>
      <c r="F337" s="3">
        <v>427107</v>
      </c>
      <c r="G337" s="3" t="s">
        <v>13</v>
      </c>
      <c r="H337" s="3" t="s">
        <v>26</v>
      </c>
      <c r="I337" s="3">
        <v>772</v>
      </c>
      <c r="J337" s="5" t="s">
        <v>32</v>
      </c>
      <c r="K337" s="3" t="str">
        <f t="shared" si="5"/>
        <v>Eligible</v>
      </c>
    </row>
    <row r="338" spans="1:11" x14ac:dyDescent="0.35">
      <c r="A338" s="4">
        <v>337</v>
      </c>
      <c r="B338" s="3" t="s">
        <v>360</v>
      </c>
      <c r="C338" s="3" t="s">
        <v>11</v>
      </c>
      <c r="D338" s="3" t="s">
        <v>12</v>
      </c>
      <c r="E338" s="3">
        <v>119003</v>
      </c>
      <c r="F338" s="3">
        <v>268729</v>
      </c>
      <c r="G338" s="3" t="s">
        <v>13</v>
      </c>
      <c r="H338" s="3" t="s">
        <v>23</v>
      </c>
      <c r="I338" s="3">
        <v>629</v>
      </c>
      <c r="J338" s="5" t="s">
        <v>24</v>
      </c>
      <c r="K338" s="3" t="str">
        <f t="shared" si="5"/>
        <v>Eligible</v>
      </c>
    </row>
    <row r="339" spans="1:11" x14ac:dyDescent="0.35">
      <c r="A339" s="4">
        <v>338</v>
      </c>
      <c r="B339" s="3" t="s">
        <v>361</v>
      </c>
      <c r="C339" s="3" t="s">
        <v>17</v>
      </c>
      <c r="D339" s="3" t="s">
        <v>18</v>
      </c>
      <c r="E339" s="3">
        <v>68347</v>
      </c>
      <c r="F339" s="3">
        <v>70503</v>
      </c>
      <c r="G339" s="3" t="s">
        <v>13</v>
      </c>
      <c r="H339" s="3" t="s">
        <v>19</v>
      </c>
      <c r="I339" s="3">
        <v>800</v>
      </c>
      <c r="J339" s="5" t="s">
        <v>15</v>
      </c>
      <c r="K339" s="3" t="str">
        <f t="shared" si="5"/>
        <v>Eligible</v>
      </c>
    </row>
    <row r="340" spans="1:11" x14ac:dyDescent="0.35">
      <c r="A340" s="4">
        <v>339</v>
      </c>
      <c r="B340" s="3" t="s">
        <v>362</v>
      </c>
      <c r="C340" s="3" t="s">
        <v>17</v>
      </c>
      <c r="D340" s="3" t="s">
        <v>18</v>
      </c>
      <c r="E340" s="3">
        <v>113850</v>
      </c>
      <c r="F340" s="3">
        <v>264061</v>
      </c>
      <c r="G340" s="3" t="s">
        <v>22</v>
      </c>
      <c r="H340" s="3" t="s">
        <v>26</v>
      </c>
      <c r="I340" s="3">
        <v>373</v>
      </c>
      <c r="J340" s="5" t="s">
        <v>24</v>
      </c>
      <c r="K340" s="3" t="str">
        <f t="shared" si="5"/>
        <v>Review</v>
      </c>
    </row>
    <row r="341" spans="1:11" x14ac:dyDescent="0.35">
      <c r="A341" s="4">
        <v>340</v>
      </c>
      <c r="B341" s="3" t="s">
        <v>363</v>
      </c>
      <c r="C341" s="3" t="s">
        <v>11</v>
      </c>
      <c r="D341" s="3" t="s">
        <v>18</v>
      </c>
      <c r="E341" s="3">
        <v>110235</v>
      </c>
      <c r="F341" s="3">
        <v>250852</v>
      </c>
      <c r="G341" s="3" t="s">
        <v>13</v>
      </c>
      <c r="H341" s="3" t="s">
        <v>14</v>
      </c>
      <c r="I341" s="3">
        <v>686</v>
      </c>
      <c r="J341" s="5" t="s">
        <v>24</v>
      </c>
      <c r="K341" s="3" t="str">
        <f t="shared" si="5"/>
        <v>Eligible</v>
      </c>
    </row>
    <row r="342" spans="1:11" x14ac:dyDescent="0.35">
      <c r="A342" s="4">
        <v>341</v>
      </c>
      <c r="B342" s="3" t="s">
        <v>364</v>
      </c>
      <c r="C342" s="3" t="s">
        <v>17</v>
      </c>
      <c r="D342" s="3" t="s">
        <v>21</v>
      </c>
      <c r="E342" s="3">
        <v>55035</v>
      </c>
      <c r="F342" s="3">
        <v>6206</v>
      </c>
      <c r="G342" s="3" t="s">
        <v>13</v>
      </c>
      <c r="H342" s="3" t="s">
        <v>14</v>
      </c>
      <c r="I342" s="3">
        <v>725</v>
      </c>
      <c r="J342" s="5" t="s">
        <v>15</v>
      </c>
      <c r="K342" s="3" t="str">
        <f t="shared" si="5"/>
        <v>Eligible</v>
      </c>
    </row>
    <row r="343" spans="1:11" x14ac:dyDescent="0.35">
      <c r="A343" s="4">
        <v>342</v>
      </c>
      <c r="B343" s="3" t="s">
        <v>365</v>
      </c>
      <c r="C343" s="3" t="s">
        <v>17</v>
      </c>
      <c r="D343" s="3" t="s">
        <v>18</v>
      </c>
      <c r="E343" s="3">
        <v>55242</v>
      </c>
      <c r="F343" s="3">
        <v>469094</v>
      </c>
      <c r="G343" s="3" t="s">
        <v>22</v>
      </c>
      <c r="H343" s="3" t="s">
        <v>26</v>
      </c>
      <c r="I343" s="3">
        <v>661</v>
      </c>
      <c r="J343" s="5" t="s">
        <v>15</v>
      </c>
      <c r="K343" s="3" t="str">
        <f t="shared" si="5"/>
        <v>Review</v>
      </c>
    </row>
    <row r="344" spans="1:11" x14ac:dyDescent="0.35">
      <c r="A344" s="4">
        <v>343</v>
      </c>
      <c r="B344" s="3" t="s">
        <v>366</v>
      </c>
      <c r="C344" s="3" t="s">
        <v>17</v>
      </c>
      <c r="D344" s="3" t="s">
        <v>18</v>
      </c>
      <c r="E344" s="3">
        <v>87005</v>
      </c>
      <c r="F344" s="3">
        <v>67582</v>
      </c>
      <c r="G344" s="3" t="s">
        <v>22</v>
      </c>
      <c r="H344" s="3" t="s">
        <v>26</v>
      </c>
      <c r="I344" s="3">
        <v>365</v>
      </c>
      <c r="J344" s="5" t="s">
        <v>24</v>
      </c>
      <c r="K344" s="3" t="str">
        <f t="shared" si="5"/>
        <v>Review</v>
      </c>
    </row>
    <row r="345" spans="1:11" x14ac:dyDescent="0.35">
      <c r="A345" s="4">
        <v>344</v>
      </c>
      <c r="B345" s="3" t="s">
        <v>367</v>
      </c>
      <c r="C345" s="3" t="s">
        <v>17</v>
      </c>
      <c r="D345" s="3" t="s">
        <v>18</v>
      </c>
      <c r="E345" s="3">
        <v>79314</v>
      </c>
      <c r="F345" s="3">
        <v>86708</v>
      </c>
      <c r="G345" s="3" t="s">
        <v>22</v>
      </c>
      <c r="H345" s="3" t="s">
        <v>26</v>
      </c>
      <c r="I345" s="3">
        <v>327</v>
      </c>
      <c r="J345" s="5" t="s">
        <v>24</v>
      </c>
      <c r="K345" s="3" t="str">
        <f t="shared" si="5"/>
        <v>Review</v>
      </c>
    </row>
    <row r="346" spans="1:11" x14ac:dyDescent="0.35">
      <c r="A346" s="4">
        <v>345</v>
      </c>
      <c r="B346" s="3" t="s">
        <v>368</v>
      </c>
      <c r="C346" s="3" t="s">
        <v>11</v>
      </c>
      <c r="D346" s="3" t="s">
        <v>21</v>
      </c>
      <c r="E346" s="3">
        <v>103697</v>
      </c>
      <c r="F346" s="3">
        <v>205215</v>
      </c>
      <c r="G346" s="3" t="s">
        <v>13</v>
      </c>
      <c r="H346" s="3" t="s">
        <v>14</v>
      </c>
      <c r="I346" s="3">
        <v>401</v>
      </c>
      <c r="J346" s="5" t="s">
        <v>15</v>
      </c>
      <c r="K346" s="3" t="str">
        <f t="shared" si="5"/>
        <v>Eligible</v>
      </c>
    </row>
    <row r="347" spans="1:11" x14ac:dyDescent="0.35">
      <c r="A347" s="4">
        <v>346</v>
      </c>
      <c r="B347" s="3" t="s">
        <v>369</v>
      </c>
      <c r="C347" s="3" t="s">
        <v>17</v>
      </c>
      <c r="D347" s="3" t="s">
        <v>21</v>
      </c>
      <c r="E347" s="3">
        <v>102174</v>
      </c>
      <c r="F347" s="3">
        <v>456953</v>
      </c>
      <c r="G347" s="3" t="s">
        <v>13</v>
      </c>
      <c r="H347" s="3" t="s">
        <v>23</v>
      </c>
      <c r="I347" s="3">
        <v>823</v>
      </c>
      <c r="J347" s="5" t="s">
        <v>15</v>
      </c>
      <c r="K347" s="3" t="str">
        <f t="shared" si="5"/>
        <v>Eligible</v>
      </c>
    </row>
    <row r="348" spans="1:11" x14ac:dyDescent="0.35">
      <c r="A348" s="4">
        <v>347</v>
      </c>
      <c r="B348" s="3" t="s">
        <v>370</v>
      </c>
      <c r="C348" s="3" t="s">
        <v>11</v>
      </c>
      <c r="D348" s="3" t="s">
        <v>18</v>
      </c>
      <c r="E348" s="3">
        <v>117098</v>
      </c>
      <c r="F348" s="3">
        <v>108608</v>
      </c>
      <c r="G348" s="3" t="s">
        <v>22</v>
      </c>
      <c r="H348" s="3" t="s">
        <v>19</v>
      </c>
      <c r="I348" s="3">
        <v>817</v>
      </c>
      <c r="J348" s="5" t="s">
        <v>32</v>
      </c>
      <c r="K348" s="3" t="str">
        <f t="shared" si="5"/>
        <v>Review</v>
      </c>
    </row>
    <row r="349" spans="1:11" x14ac:dyDescent="0.35">
      <c r="A349" s="4">
        <v>348</v>
      </c>
      <c r="B349" s="3" t="s">
        <v>371</v>
      </c>
      <c r="C349" s="3" t="s">
        <v>17</v>
      </c>
      <c r="D349" s="3" t="s">
        <v>12</v>
      </c>
      <c r="E349" s="3">
        <v>73462</v>
      </c>
      <c r="F349" s="3">
        <v>206359</v>
      </c>
      <c r="G349" s="3" t="s">
        <v>13</v>
      </c>
      <c r="H349" s="3" t="s">
        <v>14</v>
      </c>
      <c r="I349" s="3">
        <v>820</v>
      </c>
      <c r="J349" s="5" t="s">
        <v>15</v>
      </c>
      <c r="K349" s="3" t="str">
        <f t="shared" si="5"/>
        <v>Eligible</v>
      </c>
    </row>
    <row r="350" spans="1:11" x14ac:dyDescent="0.35">
      <c r="A350" s="4">
        <v>349</v>
      </c>
      <c r="B350" s="3" t="s">
        <v>372</v>
      </c>
      <c r="C350" s="3" t="s">
        <v>17</v>
      </c>
      <c r="D350" s="3" t="s">
        <v>12</v>
      </c>
      <c r="E350" s="3">
        <v>97114</v>
      </c>
      <c r="F350" s="3">
        <v>225507</v>
      </c>
      <c r="G350" s="3" t="s">
        <v>13</v>
      </c>
      <c r="H350" s="3" t="s">
        <v>26</v>
      </c>
      <c r="I350" s="3">
        <v>550</v>
      </c>
      <c r="J350" s="5" t="s">
        <v>24</v>
      </c>
      <c r="K350" s="3" t="str">
        <f t="shared" si="5"/>
        <v>Eligible</v>
      </c>
    </row>
    <row r="351" spans="1:11" x14ac:dyDescent="0.35">
      <c r="A351" s="4">
        <v>350</v>
      </c>
      <c r="B351" s="3" t="s">
        <v>373</v>
      </c>
      <c r="C351" s="3" t="s">
        <v>17</v>
      </c>
      <c r="D351" s="3" t="s">
        <v>12</v>
      </c>
      <c r="E351" s="3">
        <v>47244</v>
      </c>
      <c r="F351" s="3">
        <v>135501</v>
      </c>
      <c r="G351" s="3" t="s">
        <v>22</v>
      </c>
      <c r="H351" s="3" t="s">
        <v>19</v>
      </c>
      <c r="I351" s="3">
        <v>554</v>
      </c>
      <c r="J351" s="5" t="s">
        <v>15</v>
      </c>
      <c r="K351" s="3" t="str">
        <f t="shared" si="5"/>
        <v>Review</v>
      </c>
    </row>
    <row r="352" spans="1:11" x14ac:dyDescent="0.35">
      <c r="A352" s="4">
        <v>351</v>
      </c>
      <c r="B352" s="3" t="s">
        <v>374</v>
      </c>
      <c r="C352" s="3" t="s">
        <v>11</v>
      </c>
      <c r="D352" s="3" t="s">
        <v>18</v>
      </c>
      <c r="E352" s="3">
        <v>34744</v>
      </c>
      <c r="F352" s="3">
        <v>211001</v>
      </c>
      <c r="G352" s="3" t="s">
        <v>22</v>
      </c>
      <c r="H352" s="3" t="s">
        <v>19</v>
      </c>
      <c r="I352" s="3">
        <v>353</v>
      </c>
      <c r="J352" s="5" t="s">
        <v>15</v>
      </c>
      <c r="K352" s="3" t="str">
        <f t="shared" si="5"/>
        <v>Review</v>
      </c>
    </row>
    <row r="353" spans="1:11" x14ac:dyDescent="0.35">
      <c r="A353" s="4">
        <v>352</v>
      </c>
      <c r="B353" s="3" t="s">
        <v>375</v>
      </c>
      <c r="C353" s="3" t="s">
        <v>11</v>
      </c>
      <c r="D353" s="3" t="s">
        <v>12</v>
      </c>
      <c r="E353" s="3">
        <v>47819</v>
      </c>
      <c r="F353" s="3">
        <v>173097</v>
      </c>
      <c r="G353" s="3" t="s">
        <v>13</v>
      </c>
      <c r="H353" s="3" t="s">
        <v>19</v>
      </c>
      <c r="I353" s="3">
        <v>756</v>
      </c>
      <c r="J353" s="5" t="s">
        <v>15</v>
      </c>
      <c r="K353" s="3" t="str">
        <f t="shared" si="5"/>
        <v>Review</v>
      </c>
    </row>
    <row r="354" spans="1:11" x14ac:dyDescent="0.35">
      <c r="A354" s="4">
        <v>353</v>
      </c>
      <c r="B354" s="3" t="s">
        <v>376</v>
      </c>
      <c r="C354" s="3" t="s">
        <v>17</v>
      </c>
      <c r="D354" s="3" t="s">
        <v>21</v>
      </c>
      <c r="E354" s="3">
        <v>83420</v>
      </c>
      <c r="F354" s="3">
        <v>304088</v>
      </c>
      <c r="G354" s="3" t="s">
        <v>13</v>
      </c>
      <c r="H354" s="3" t="s">
        <v>14</v>
      </c>
      <c r="I354" s="3">
        <v>622</v>
      </c>
      <c r="J354" s="5" t="s">
        <v>15</v>
      </c>
      <c r="K354" s="3" t="str">
        <f t="shared" si="5"/>
        <v>Eligible</v>
      </c>
    </row>
    <row r="355" spans="1:11" x14ac:dyDescent="0.35">
      <c r="A355" s="4">
        <v>354</v>
      </c>
      <c r="B355" s="3" t="s">
        <v>377</v>
      </c>
      <c r="C355" s="3" t="s">
        <v>11</v>
      </c>
      <c r="D355" s="3" t="s">
        <v>21</v>
      </c>
      <c r="E355" s="3">
        <v>49967</v>
      </c>
      <c r="F355" s="3">
        <v>356070</v>
      </c>
      <c r="G355" s="3" t="s">
        <v>22</v>
      </c>
      <c r="H355" s="3" t="s">
        <v>23</v>
      </c>
      <c r="I355" s="3">
        <v>454</v>
      </c>
      <c r="J355" s="5" t="s">
        <v>15</v>
      </c>
      <c r="K355" s="3" t="str">
        <f t="shared" si="5"/>
        <v>Review</v>
      </c>
    </row>
    <row r="356" spans="1:11" x14ac:dyDescent="0.35">
      <c r="A356" s="4">
        <v>355</v>
      </c>
      <c r="B356" s="3" t="s">
        <v>378</v>
      </c>
      <c r="C356" s="3" t="s">
        <v>11</v>
      </c>
      <c r="D356" s="3" t="s">
        <v>12</v>
      </c>
      <c r="E356" s="3">
        <v>74461</v>
      </c>
      <c r="F356" s="3">
        <v>288390</v>
      </c>
      <c r="G356" s="3" t="s">
        <v>13</v>
      </c>
      <c r="H356" s="3" t="s">
        <v>19</v>
      </c>
      <c r="I356" s="3">
        <v>445</v>
      </c>
      <c r="J356" s="5" t="s">
        <v>15</v>
      </c>
      <c r="K356" s="3" t="str">
        <f t="shared" si="5"/>
        <v>Eligible</v>
      </c>
    </row>
    <row r="357" spans="1:11" x14ac:dyDescent="0.35">
      <c r="A357" s="4">
        <v>356</v>
      </c>
      <c r="B357" s="3" t="s">
        <v>379</v>
      </c>
      <c r="C357" s="3" t="s">
        <v>17</v>
      </c>
      <c r="D357" s="3" t="s">
        <v>18</v>
      </c>
      <c r="E357" s="3">
        <v>62018</v>
      </c>
      <c r="F357" s="3">
        <v>51653</v>
      </c>
      <c r="G357" s="3" t="s">
        <v>22</v>
      </c>
      <c r="H357" s="3" t="s">
        <v>14</v>
      </c>
      <c r="I357" s="3">
        <v>887</v>
      </c>
      <c r="J357" s="5" t="s">
        <v>24</v>
      </c>
      <c r="K357" s="3" t="str">
        <f t="shared" si="5"/>
        <v>Review</v>
      </c>
    </row>
    <row r="358" spans="1:11" x14ac:dyDescent="0.35">
      <c r="A358" s="4">
        <v>357</v>
      </c>
      <c r="B358" s="3" t="s">
        <v>380</v>
      </c>
      <c r="C358" s="3" t="s">
        <v>17</v>
      </c>
      <c r="D358" s="3" t="s">
        <v>18</v>
      </c>
      <c r="E358" s="3">
        <v>76773</v>
      </c>
      <c r="F358" s="3">
        <v>341979</v>
      </c>
      <c r="G358" s="3" t="s">
        <v>13</v>
      </c>
      <c r="H358" s="3" t="s">
        <v>23</v>
      </c>
      <c r="I358" s="3">
        <v>685</v>
      </c>
      <c r="J358" s="5" t="s">
        <v>15</v>
      </c>
      <c r="K358" s="3" t="str">
        <f t="shared" si="5"/>
        <v>Eligible</v>
      </c>
    </row>
    <row r="359" spans="1:11" x14ac:dyDescent="0.35">
      <c r="A359" s="4">
        <v>358</v>
      </c>
      <c r="B359" s="3" t="s">
        <v>381</v>
      </c>
      <c r="C359" s="3" t="s">
        <v>11</v>
      </c>
      <c r="D359" s="3" t="s">
        <v>12</v>
      </c>
      <c r="E359" s="3">
        <v>106648</v>
      </c>
      <c r="F359" s="3">
        <v>344755</v>
      </c>
      <c r="G359" s="3" t="s">
        <v>22</v>
      </c>
      <c r="H359" s="3" t="s">
        <v>26</v>
      </c>
      <c r="I359" s="3">
        <v>701</v>
      </c>
      <c r="J359" s="5" t="s">
        <v>15</v>
      </c>
      <c r="K359" s="3" t="str">
        <f t="shared" si="5"/>
        <v>Review</v>
      </c>
    </row>
    <row r="360" spans="1:11" x14ac:dyDescent="0.35">
      <c r="A360" s="4">
        <v>359</v>
      </c>
      <c r="B360" s="3" t="s">
        <v>382</v>
      </c>
      <c r="C360" s="3" t="s">
        <v>17</v>
      </c>
      <c r="D360" s="3" t="s">
        <v>12</v>
      </c>
      <c r="E360" s="3">
        <v>68063</v>
      </c>
      <c r="F360" s="3">
        <v>422605</v>
      </c>
      <c r="G360" s="3" t="s">
        <v>22</v>
      </c>
      <c r="H360" s="3" t="s">
        <v>14</v>
      </c>
      <c r="I360" s="3">
        <v>321</v>
      </c>
      <c r="J360" s="5" t="s">
        <v>15</v>
      </c>
      <c r="K360" s="3" t="str">
        <f t="shared" si="5"/>
        <v>Review</v>
      </c>
    </row>
    <row r="361" spans="1:11" x14ac:dyDescent="0.35">
      <c r="A361" s="4">
        <v>360</v>
      </c>
      <c r="B361" s="3" t="s">
        <v>383</v>
      </c>
      <c r="C361" s="3" t="s">
        <v>11</v>
      </c>
      <c r="D361" s="3" t="s">
        <v>18</v>
      </c>
      <c r="E361" s="3">
        <v>86545</v>
      </c>
      <c r="F361" s="3">
        <v>107174</v>
      </c>
      <c r="G361" s="3" t="s">
        <v>13</v>
      </c>
      <c r="H361" s="3" t="s">
        <v>26</v>
      </c>
      <c r="I361" s="3">
        <v>615</v>
      </c>
      <c r="J361" s="5" t="s">
        <v>24</v>
      </c>
      <c r="K361" s="3" t="str">
        <f t="shared" si="5"/>
        <v>Eligible</v>
      </c>
    </row>
    <row r="362" spans="1:11" x14ac:dyDescent="0.35">
      <c r="A362" s="4">
        <v>361</v>
      </c>
      <c r="B362" s="3" t="s">
        <v>384</v>
      </c>
      <c r="C362" s="3" t="s">
        <v>17</v>
      </c>
      <c r="D362" s="3" t="s">
        <v>18</v>
      </c>
      <c r="E362" s="3">
        <v>54366</v>
      </c>
      <c r="F362" s="3">
        <v>442705</v>
      </c>
      <c r="G362" s="3" t="s">
        <v>13</v>
      </c>
      <c r="H362" s="3" t="s">
        <v>23</v>
      </c>
      <c r="I362" s="3">
        <v>835</v>
      </c>
      <c r="J362" s="5" t="s">
        <v>32</v>
      </c>
      <c r="K362" s="3" t="str">
        <f t="shared" si="5"/>
        <v>Eligible</v>
      </c>
    </row>
    <row r="363" spans="1:11" x14ac:dyDescent="0.35">
      <c r="A363" s="4">
        <v>362</v>
      </c>
      <c r="B363" s="3" t="s">
        <v>385</v>
      </c>
      <c r="C363" s="3" t="s">
        <v>17</v>
      </c>
      <c r="D363" s="3" t="s">
        <v>21</v>
      </c>
      <c r="E363" s="3">
        <v>92705</v>
      </c>
      <c r="F363" s="3">
        <v>227505</v>
      </c>
      <c r="G363" s="3" t="s">
        <v>22</v>
      </c>
      <c r="H363" s="3" t="s">
        <v>19</v>
      </c>
      <c r="I363" s="3">
        <v>734</v>
      </c>
      <c r="J363" s="5" t="s">
        <v>15</v>
      </c>
      <c r="K363" s="3" t="str">
        <f t="shared" si="5"/>
        <v>Review</v>
      </c>
    </row>
    <row r="364" spans="1:11" x14ac:dyDescent="0.35">
      <c r="A364" s="4">
        <v>363</v>
      </c>
      <c r="B364" s="3" t="s">
        <v>386</v>
      </c>
      <c r="C364" s="3" t="s">
        <v>17</v>
      </c>
      <c r="D364" s="3" t="s">
        <v>18</v>
      </c>
      <c r="E364" s="3">
        <v>62686</v>
      </c>
      <c r="F364" s="3">
        <v>174480</v>
      </c>
      <c r="G364" s="3" t="s">
        <v>22</v>
      </c>
      <c r="H364" s="3" t="s">
        <v>19</v>
      </c>
      <c r="I364" s="3">
        <v>466</v>
      </c>
      <c r="J364" s="5" t="s">
        <v>24</v>
      </c>
      <c r="K364" s="3" t="str">
        <f t="shared" si="5"/>
        <v>Review</v>
      </c>
    </row>
    <row r="365" spans="1:11" x14ac:dyDescent="0.35">
      <c r="A365" s="4">
        <v>364</v>
      </c>
      <c r="B365" s="3" t="s">
        <v>387</v>
      </c>
      <c r="C365" s="3" t="s">
        <v>11</v>
      </c>
      <c r="D365" s="3" t="s">
        <v>18</v>
      </c>
      <c r="E365" s="3">
        <v>92790</v>
      </c>
      <c r="F365" s="3">
        <v>400836</v>
      </c>
      <c r="G365" s="3" t="s">
        <v>13</v>
      </c>
      <c r="H365" s="3" t="s">
        <v>23</v>
      </c>
      <c r="I365" s="3">
        <v>678</v>
      </c>
      <c r="J365" s="5" t="s">
        <v>32</v>
      </c>
      <c r="K365" s="3" t="str">
        <f t="shared" si="5"/>
        <v>Eligible</v>
      </c>
    </row>
    <row r="366" spans="1:11" x14ac:dyDescent="0.35">
      <c r="A366" s="4">
        <v>365</v>
      </c>
      <c r="B366" s="3" t="s">
        <v>388</v>
      </c>
      <c r="C366" s="3" t="s">
        <v>17</v>
      </c>
      <c r="D366" s="3" t="s">
        <v>21</v>
      </c>
      <c r="E366" s="3">
        <v>102805</v>
      </c>
      <c r="F366" s="3">
        <v>395424</v>
      </c>
      <c r="G366" s="3" t="s">
        <v>22</v>
      </c>
      <c r="H366" s="3" t="s">
        <v>14</v>
      </c>
      <c r="I366" s="3">
        <v>881</v>
      </c>
      <c r="J366" s="5" t="s">
        <v>32</v>
      </c>
      <c r="K366" s="3" t="str">
        <f t="shared" si="5"/>
        <v>Review</v>
      </c>
    </row>
    <row r="367" spans="1:11" x14ac:dyDescent="0.35">
      <c r="A367" s="4">
        <v>366</v>
      </c>
      <c r="B367" s="3" t="s">
        <v>389</v>
      </c>
      <c r="C367" s="3" t="s">
        <v>17</v>
      </c>
      <c r="D367" s="3" t="s">
        <v>12</v>
      </c>
      <c r="E367" s="3">
        <v>53918</v>
      </c>
      <c r="F367" s="3">
        <v>381603</v>
      </c>
      <c r="G367" s="3" t="s">
        <v>13</v>
      </c>
      <c r="H367" s="3" t="s">
        <v>14</v>
      </c>
      <c r="I367" s="3">
        <v>398</v>
      </c>
      <c r="J367" s="5" t="s">
        <v>24</v>
      </c>
      <c r="K367" s="3" t="str">
        <f t="shared" si="5"/>
        <v>Eligible</v>
      </c>
    </row>
    <row r="368" spans="1:11" x14ac:dyDescent="0.35">
      <c r="A368" s="4">
        <v>367</v>
      </c>
      <c r="B368" s="3" t="s">
        <v>390</v>
      </c>
      <c r="C368" s="3" t="s">
        <v>17</v>
      </c>
      <c r="D368" s="3" t="s">
        <v>18</v>
      </c>
      <c r="E368" s="3">
        <v>31135</v>
      </c>
      <c r="F368" s="3">
        <v>99208</v>
      </c>
      <c r="G368" s="3" t="s">
        <v>22</v>
      </c>
      <c r="H368" s="3" t="s">
        <v>14</v>
      </c>
      <c r="I368" s="3">
        <v>624</v>
      </c>
      <c r="J368" s="5" t="s">
        <v>32</v>
      </c>
      <c r="K368" s="3" t="str">
        <f t="shared" si="5"/>
        <v>Review</v>
      </c>
    </row>
    <row r="369" spans="1:11" x14ac:dyDescent="0.35">
      <c r="A369" s="4">
        <v>368</v>
      </c>
      <c r="B369" s="3" t="s">
        <v>391</v>
      </c>
      <c r="C369" s="3" t="s">
        <v>17</v>
      </c>
      <c r="D369" s="3" t="s">
        <v>21</v>
      </c>
      <c r="E369" s="3">
        <v>25010</v>
      </c>
      <c r="F369" s="3">
        <v>16965</v>
      </c>
      <c r="G369" s="3" t="s">
        <v>13</v>
      </c>
      <c r="H369" s="3" t="s">
        <v>26</v>
      </c>
      <c r="I369" s="3">
        <v>831</v>
      </c>
      <c r="J369" s="5" t="s">
        <v>32</v>
      </c>
      <c r="K369" s="3" t="str">
        <f t="shared" si="5"/>
        <v>Review</v>
      </c>
    </row>
    <row r="370" spans="1:11" x14ac:dyDescent="0.35">
      <c r="A370" s="4">
        <v>369</v>
      </c>
      <c r="B370" s="3" t="s">
        <v>392</v>
      </c>
      <c r="C370" s="3" t="s">
        <v>17</v>
      </c>
      <c r="D370" s="3" t="s">
        <v>21</v>
      </c>
      <c r="E370" s="3">
        <v>82441</v>
      </c>
      <c r="F370" s="3">
        <v>417402</v>
      </c>
      <c r="G370" s="3" t="s">
        <v>13</v>
      </c>
      <c r="H370" s="3" t="s">
        <v>26</v>
      </c>
      <c r="I370" s="3">
        <v>479</v>
      </c>
      <c r="J370" s="5" t="s">
        <v>15</v>
      </c>
      <c r="K370" s="3" t="str">
        <f t="shared" si="5"/>
        <v>Eligible</v>
      </c>
    </row>
    <row r="371" spans="1:11" x14ac:dyDescent="0.35">
      <c r="A371" s="4">
        <v>370</v>
      </c>
      <c r="B371" s="3" t="s">
        <v>393</v>
      </c>
      <c r="C371" s="3" t="s">
        <v>11</v>
      </c>
      <c r="D371" s="3" t="s">
        <v>18</v>
      </c>
      <c r="E371" s="3">
        <v>44814</v>
      </c>
      <c r="F371" s="3">
        <v>132737</v>
      </c>
      <c r="G371" s="3" t="s">
        <v>22</v>
      </c>
      <c r="H371" s="3" t="s">
        <v>23</v>
      </c>
      <c r="I371" s="3">
        <v>374</v>
      </c>
      <c r="J371" s="5" t="s">
        <v>32</v>
      </c>
      <c r="K371" s="3" t="str">
        <f t="shared" si="5"/>
        <v>Review</v>
      </c>
    </row>
    <row r="372" spans="1:11" x14ac:dyDescent="0.35">
      <c r="A372" s="4">
        <v>371</v>
      </c>
      <c r="B372" s="3" t="s">
        <v>394</v>
      </c>
      <c r="C372" s="3" t="s">
        <v>11</v>
      </c>
      <c r="D372" s="3" t="s">
        <v>21</v>
      </c>
      <c r="E372" s="3">
        <v>28588</v>
      </c>
      <c r="F372" s="3">
        <v>240107</v>
      </c>
      <c r="G372" s="3" t="s">
        <v>13</v>
      </c>
      <c r="H372" s="3" t="s">
        <v>14</v>
      </c>
      <c r="I372" s="3">
        <v>308</v>
      </c>
      <c r="J372" s="5" t="s">
        <v>32</v>
      </c>
      <c r="K372" s="3" t="str">
        <f t="shared" si="5"/>
        <v>Review</v>
      </c>
    </row>
    <row r="373" spans="1:11" x14ac:dyDescent="0.35">
      <c r="A373" s="4">
        <v>372</v>
      </c>
      <c r="B373" s="3" t="s">
        <v>395</v>
      </c>
      <c r="C373" s="3" t="s">
        <v>11</v>
      </c>
      <c r="D373" s="3" t="s">
        <v>12</v>
      </c>
      <c r="E373" s="3">
        <v>53832</v>
      </c>
      <c r="F373" s="3">
        <v>282127</v>
      </c>
      <c r="G373" s="3" t="s">
        <v>22</v>
      </c>
      <c r="H373" s="3" t="s">
        <v>14</v>
      </c>
      <c r="I373" s="3">
        <v>489</v>
      </c>
      <c r="J373" s="5" t="s">
        <v>24</v>
      </c>
      <c r="K373" s="3" t="str">
        <f t="shared" si="5"/>
        <v>Review</v>
      </c>
    </row>
    <row r="374" spans="1:11" x14ac:dyDescent="0.35">
      <c r="A374" s="4">
        <v>373</v>
      </c>
      <c r="B374" s="3" t="s">
        <v>396</v>
      </c>
      <c r="C374" s="3" t="s">
        <v>17</v>
      </c>
      <c r="D374" s="3" t="s">
        <v>21</v>
      </c>
      <c r="E374" s="3">
        <v>38678</v>
      </c>
      <c r="F374" s="3">
        <v>298468</v>
      </c>
      <c r="G374" s="3" t="s">
        <v>13</v>
      </c>
      <c r="H374" s="3" t="s">
        <v>23</v>
      </c>
      <c r="I374" s="3">
        <v>313</v>
      </c>
      <c r="J374" s="5" t="s">
        <v>24</v>
      </c>
      <c r="K374" s="3" t="str">
        <f t="shared" si="5"/>
        <v>Review</v>
      </c>
    </row>
    <row r="375" spans="1:11" x14ac:dyDescent="0.35">
      <c r="A375" s="4">
        <v>374</v>
      </c>
      <c r="B375" s="3" t="s">
        <v>397</v>
      </c>
      <c r="C375" s="3" t="s">
        <v>11</v>
      </c>
      <c r="D375" s="3" t="s">
        <v>18</v>
      </c>
      <c r="E375" s="3">
        <v>41680</v>
      </c>
      <c r="F375" s="3">
        <v>163095</v>
      </c>
      <c r="G375" s="3" t="s">
        <v>13</v>
      </c>
      <c r="H375" s="3" t="s">
        <v>23</v>
      </c>
      <c r="I375" s="3">
        <v>751</v>
      </c>
      <c r="J375" s="5" t="s">
        <v>24</v>
      </c>
      <c r="K375" s="3" t="str">
        <f t="shared" si="5"/>
        <v>Review</v>
      </c>
    </row>
    <row r="376" spans="1:11" x14ac:dyDescent="0.35">
      <c r="A376" s="4">
        <v>375</v>
      </c>
      <c r="B376" s="3" t="s">
        <v>398</v>
      </c>
      <c r="C376" s="3" t="s">
        <v>11</v>
      </c>
      <c r="D376" s="3" t="s">
        <v>18</v>
      </c>
      <c r="E376" s="3">
        <v>104254</v>
      </c>
      <c r="F376" s="3">
        <v>440777</v>
      </c>
      <c r="G376" s="3" t="s">
        <v>13</v>
      </c>
      <c r="H376" s="3" t="s">
        <v>26</v>
      </c>
      <c r="I376" s="3">
        <v>739</v>
      </c>
      <c r="J376" s="5" t="s">
        <v>32</v>
      </c>
      <c r="K376" s="3" t="str">
        <f t="shared" si="5"/>
        <v>Eligible</v>
      </c>
    </row>
    <row r="377" spans="1:11" x14ac:dyDescent="0.35">
      <c r="A377" s="4">
        <v>376</v>
      </c>
      <c r="B377" s="3" t="s">
        <v>399</v>
      </c>
      <c r="C377" s="3" t="s">
        <v>11</v>
      </c>
      <c r="D377" s="3" t="s">
        <v>21</v>
      </c>
      <c r="E377" s="3">
        <v>44347</v>
      </c>
      <c r="F377" s="3">
        <v>216025</v>
      </c>
      <c r="G377" s="3" t="s">
        <v>13</v>
      </c>
      <c r="H377" s="3" t="s">
        <v>23</v>
      </c>
      <c r="I377" s="3">
        <v>896</v>
      </c>
      <c r="J377" s="5" t="s">
        <v>15</v>
      </c>
      <c r="K377" s="3" t="str">
        <f t="shared" si="5"/>
        <v>Review</v>
      </c>
    </row>
    <row r="378" spans="1:11" x14ac:dyDescent="0.35">
      <c r="A378" s="4">
        <v>377</v>
      </c>
      <c r="B378" s="3" t="s">
        <v>400</v>
      </c>
      <c r="C378" s="3" t="s">
        <v>11</v>
      </c>
      <c r="D378" s="3" t="s">
        <v>12</v>
      </c>
      <c r="E378" s="3">
        <v>42377</v>
      </c>
      <c r="F378" s="3">
        <v>186885</v>
      </c>
      <c r="G378" s="3" t="s">
        <v>22</v>
      </c>
      <c r="H378" s="3" t="s">
        <v>23</v>
      </c>
      <c r="I378" s="3">
        <v>648</v>
      </c>
      <c r="J378" s="5" t="s">
        <v>15</v>
      </c>
      <c r="K378" s="3" t="str">
        <f t="shared" si="5"/>
        <v>Review</v>
      </c>
    </row>
    <row r="379" spans="1:11" x14ac:dyDescent="0.35">
      <c r="A379" s="4">
        <v>378</v>
      </c>
      <c r="B379" s="3" t="s">
        <v>401</v>
      </c>
      <c r="C379" s="3" t="s">
        <v>17</v>
      </c>
      <c r="D379" s="3" t="s">
        <v>18</v>
      </c>
      <c r="E379" s="3">
        <v>76198</v>
      </c>
      <c r="F379" s="3">
        <v>318950</v>
      </c>
      <c r="G379" s="3" t="s">
        <v>22</v>
      </c>
      <c r="H379" s="3" t="s">
        <v>23</v>
      </c>
      <c r="I379" s="3">
        <v>671</v>
      </c>
      <c r="J379" s="5" t="s">
        <v>32</v>
      </c>
      <c r="K379" s="3" t="str">
        <f t="shared" si="5"/>
        <v>Review</v>
      </c>
    </row>
    <row r="380" spans="1:11" x14ac:dyDescent="0.35">
      <c r="A380" s="4">
        <v>379</v>
      </c>
      <c r="B380" s="3" t="s">
        <v>402</v>
      </c>
      <c r="C380" s="3" t="s">
        <v>17</v>
      </c>
      <c r="D380" s="3" t="s">
        <v>21</v>
      </c>
      <c r="E380" s="3">
        <v>28227</v>
      </c>
      <c r="F380" s="3">
        <v>311342</v>
      </c>
      <c r="G380" s="3" t="s">
        <v>13</v>
      </c>
      <c r="H380" s="3" t="s">
        <v>26</v>
      </c>
      <c r="I380" s="3">
        <v>780</v>
      </c>
      <c r="J380" s="5" t="s">
        <v>15</v>
      </c>
      <c r="K380" s="3" t="str">
        <f t="shared" si="5"/>
        <v>Review</v>
      </c>
    </row>
    <row r="381" spans="1:11" x14ac:dyDescent="0.35">
      <c r="A381" s="4">
        <v>380</v>
      </c>
      <c r="B381" s="3" t="s">
        <v>403</v>
      </c>
      <c r="C381" s="3" t="s">
        <v>11</v>
      </c>
      <c r="D381" s="3" t="s">
        <v>21</v>
      </c>
      <c r="E381" s="3">
        <v>27137</v>
      </c>
      <c r="F381" s="3">
        <v>230532</v>
      </c>
      <c r="G381" s="3" t="s">
        <v>22</v>
      </c>
      <c r="H381" s="3" t="s">
        <v>26</v>
      </c>
      <c r="I381" s="3">
        <v>600</v>
      </c>
      <c r="J381" s="5" t="s">
        <v>24</v>
      </c>
      <c r="K381" s="3" t="str">
        <f t="shared" si="5"/>
        <v>Review</v>
      </c>
    </row>
    <row r="382" spans="1:11" x14ac:dyDescent="0.35">
      <c r="A382" s="4">
        <v>381</v>
      </c>
      <c r="B382" s="3" t="s">
        <v>404</v>
      </c>
      <c r="C382" s="3" t="s">
        <v>11</v>
      </c>
      <c r="D382" s="3" t="s">
        <v>21</v>
      </c>
      <c r="E382" s="3">
        <v>31044</v>
      </c>
      <c r="F382" s="3">
        <v>291700</v>
      </c>
      <c r="G382" s="3" t="s">
        <v>13</v>
      </c>
      <c r="H382" s="3" t="s">
        <v>26</v>
      </c>
      <c r="I382" s="3">
        <v>603</v>
      </c>
      <c r="J382" s="5" t="s">
        <v>15</v>
      </c>
      <c r="K382" s="3" t="str">
        <f t="shared" si="5"/>
        <v>Review</v>
      </c>
    </row>
    <row r="383" spans="1:11" x14ac:dyDescent="0.35">
      <c r="A383" s="4">
        <v>382</v>
      </c>
      <c r="B383" s="3" t="s">
        <v>405</v>
      </c>
      <c r="C383" s="3" t="s">
        <v>11</v>
      </c>
      <c r="D383" s="3" t="s">
        <v>12</v>
      </c>
      <c r="E383" s="3">
        <v>65688</v>
      </c>
      <c r="F383" s="3">
        <v>132895</v>
      </c>
      <c r="G383" s="3" t="s">
        <v>13</v>
      </c>
      <c r="H383" s="3" t="s">
        <v>23</v>
      </c>
      <c r="I383" s="3">
        <v>333</v>
      </c>
      <c r="J383" s="5" t="s">
        <v>32</v>
      </c>
      <c r="K383" s="3" t="str">
        <f t="shared" si="5"/>
        <v>Eligible</v>
      </c>
    </row>
    <row r="384" spans="1:11" x14ac:dyDescent="0.35">
      <c r="A384" s="4">
        <v>383</v>
      </c>
      <c r="B384" s="3" t="s">
        <v>406</v>
      </c>
      <c r="C384" s="3" t="s">
        <v>11</v>
      </c>
      <c r="D384" s="3" t="s">
        <v>18</v>
      </c>
      <c r="E384" s="3">
        <v>96024</v>
      </c>
      <c r="F384" s="3">
        <v>357618</v>
      </c>
      <c r="G384" s="3" t="s">
        <v>22</v>
      </c>
      <c r="H384" s="3" t="s">
        <v>19</v>
      </c>
      <c r="I384" s="3">
        <v>381</v>
      </c>
      <c r="J384" s="5" t="s">
        <v>15</v>
      </c>
      <c r="K384" s="3" t="str">
        <f t="shared" si="5"/>
        <v>Review</v>
      </c>
    </row>
    <row r="385" spans="1:11" x14ac:dyDescent="0.35">
      <c r="A385" s="4">
        <v>384</v>
      </c>
      <c r="B385" s="3" t="s">
        <v>407</v>
      </c>
      <c r="C385" s="3" t="s">
        <v>11</v>
      </c>
      <c r="D385" s="3" t="s">
        <v>21</v>
      </c>
      <c r="E385" s="3">
        <v>95642</v>
      </c>
      <c r="F385" s="3">
        <v>18245</v>
      </c>
      <c r="G385" s="3" t="s">
        <v>22</v>
      </c>
      <c r="H385" s="3" t="s">
        <v>19</v>
      </c>
      <c r="I385" s="3">
        <v>709</v>
      </c>
      <c r="J385" s="5" t="s">
        <v>32</v>
      </c>
      <c r="K385" s="3" t="str">
        <f t="shared" si="5"/>
        <v>Review</v>
      </c>
    </row>
    <row r="386" spans="1:11" x14ac:dyDescent="0.35">
      <c r="A386" s="4">
        <v>385</v>
      </c>
      <c r="B386" s="3" t="s">
        <v>408</v>
      </c>
      <c r="C386" s="3" t="s">
        <v>17</v>
      </c>
      <c r="D386" s="3" t="s">
        <v>21</v>
      </c>
      <c r="E386" s="3">
        <v>41797</v>
      </c>
      <c r="F386" s="3">
        <v>424814</v>
      </c>
      <c r="G386" s="3" t="s">
        <v>13</v>
      </c>
      <c r="H386" s="3" t="s">
        <v>23</v>
      </c>
      <c r="I386" s="3">
        <v>877</v>
      </c>
      <c r="J386" s="5" t="s">
        <v>24</v>
      </c>
      <c r="K386" s="3" t="str">
        <f t="shared" ref="K386:K449" si="6">IF(AND(E386&gt;50000,G386="Approved"),"Eligible","Review")</f>
        <v>Review</v>
      </c>
    </row>
    <row r="387" spans="1:11" x14ac:dyDescent="0.35">
      <c r="A387" s="4">
        <v>386</v>
      </c>
      <c r="B387" s="3" t="s">
        <v>409</v>
      </c>
      <c r="C387" s="3" t="s">
        <v>17</v>
      </c>
      <c r="D387" s="3" t="s">
        <v>12</v>
      </c>
      <c r="E387" s="3">
        <v>89014</v>
      </c>
      <c r="F387" s="3">
        <v>148525</v>
      </c>
      <c r="G387" s="3" t="s">
        <v>13</v>
      </c>
      <c r="H387" s="3" t="s">
        <v>26</v>
      </c>
      <c r="I387" s="3">
        <v>888</v>
      </c>
      <c r="J387" s="5" t="s">
        <v>24</v>
      </c>
      <c r="K387" s="3" t="str">
        <f t="shared" si="6"/>
        <v>Eligible</v>
      </c>
    </row>
    <row r="388" spans="1:11" x14ac:dyDescent="0.35">
      <c r="A388" s="4">
        <v>387</v>
      </c>
      <c r="B388" s="3" t="s">
        <v>410</v>
      </c>
      <c r="C388" s="3" t="s">
        <v>11</v>
      </c>
      <c r="D388" s="3" t="s">
        <v>21</v>
      </c>
      <c r="E388" s="3">
        <v>83924</v>
      </c>
      <c r="F388" s="3">
        <v>159994</v>
      </c>
      <c r="G388" s="3" t="s">
        <v>22</v>
      </c>
      <c r="H388" s="3" t="s">
        <v>14</v>
      </c>
      <c r="I388" s="3">
        <v>797</v>
      </c>
      <c r="J388" s="5" t="s">
        <v>15</v>
      </c>
      <c r="K388" s="3" t="str">
        <f t="shared" si="6"/>
        <v>Review</v>
      </c>
    </row>
    <row r="389" spans="1:11" x14ac:dyDescent="0.35">
      <c r="A389" s="4">
        <v>388</v>
      </c>
      <c r="B389" s="3" t="s">
        <v>411</v>
      </c>
      <c r="C389" s="3" t="s">
        <v>17</v>
      </c>
      <c r="D389" s="3" t="s">
        <v>21</v>
      </c>
      <c r="E389" s="3">
        <v>46377</v>
      </c>
      <c r="F389" s="3">
        <v>488524</v>
      </c>
      <c r="G389" s="3" t="s">
        <v>13</v>
      </c>
      <c r="H389" s="3" t="s">
        <v>23</v>
      </c>
      <c r="I389" s="3">
        <v>404</v>
      </c>
      <c r="J389" s="5" t="s">
        <v>15</v>
      </c>
      <c r="K389" s="3" t="str">
        <f t="shared" si="6"/>
        <v>Review</v>
      </c>
    </row>
    <row r="390" spans="1:11" x14ac:dyDescent="0.35">
      <c r="A390" s="4">
        <v>389</v>
      </c>
      <c r="B390" s="3" t="s">
        <v>412</v>
      </c>
      <c r="C390" s="3" t="s">
        <v>11</v>
      </c>
      <c r="D390" s="3" t="s">
        <v>12</v>
      </c>
      <c r="E390" s="3">
        <v>29769</v>
      </c>
      <c r="F390" s="3">
        <v>293493</v>
      </c>
      <c r="G390" s="3" t="s">
        <v>13</v>
      </c>
      <c r="H390" s="3" t="s">
        <v>14</v>
      </c>
      <c r="I390" s="3">
        <v>580</v>
      </c>
      <c r="J390" s="5" t="s">
        <v>24</v>
      </c>
      <c r="K390" s="3" t="str">
        <f t="shared" si="6"/>
        <v>Review</v>
      </c>
    </row>
    <row r="391" spans="1:11" x14ac:dyDescent="0.35">
      <c r="A391" s="4">
        <v>390</v>
      </c>
      <c r="B391" s="3" t="s">
        <v>413</v>
      </c>
      <c r="C391" s="3" t="s">
        <v>11</v>
      </c>
      <c r="D391" s="3" t="s">
        <v>18</v>
      </c>
      <c r="E391" s="3">
        <v>47238</v>
      </c>
      <c r="F391" s="3">
        <v>177180</v>
      </c>
      <c r="G391" s="3" t="s">
        <v>13</v>
      </c>
      <c r="H391" s="3" t="s">
        <v>23</v>
      </c>
      <c r="I391" s="3">
        <v>439</v>
      </c>
      <c r="J391" s="5" t="s">
        <v>32</v>
      </c>
      <c r="K391" s="3" t="str">
        <f t="shared" si="6"/>
        <v>Review</v>
      </c>
    </row>
    <row r="392" spans="1:11" x14ac:dyDescent="0.35">
      <c r="A392" s="4">
        <v>391</v>
      </c>
      <c r="B392" s="3" t="s">
        <v>414</v>
      </c>
      <c r="C392" s="3" t="s">
        <v>17</v>
      </c>
      <c r="D392" s="3" t="s">
        <v>12</v>
      </c>
      <c r="E392" s="3">
        <v>96630</v>
      </c>
      <c r="F392" s="3">
        <v>406826</v>
      </c>
      <c r="G392" s="3" t="s">
        <v>13</v>
      </c>
      <c r="H392" s="3" t="s">
        <v>26</v>
      </c>
      <c r="I392" s="3">
        <v>664</v>
      </c>
      <c r="J392" s="5" t="s">
        <v>32</v>
      </c>
      <c r="K392" s="3" t="str">
        <f t="shared" si="6"/>
        <v>Eligible</v>
      </c>
    </row>
    <row r="393" spans="1:11" x14ac:dyDescent="0.35">
      <c r="A393" s="4">
        <v>392</v>
      </c>
      <c r="B393" s="3" t="s">
        <v>415</v>
      </c>
      <c r="C393" s="3" t="s">
        <v>11</v>
      </c>
      <c r="D393" s="3" t="s">
        <v>18</v>
      </c>
      <c r="E393" s="3">
        <v>112875</v>
      </c>
      <c r="F393" s="3">
        <v>343632</v>
      </c>
      <c r="G393" s="3" t="s">
        <v>13</v>
      </c>
      <c r="H393" s="3" t="s">
        <v>19</v>
      </c>
      <c r="I393" s="3">
        <v>524</v>
      </c>
      <c r="J393" s="5" t="s">
        <v>15</v>
      </c>
      <c r="K393" s="3" t="str">
        <f t="shared" si="6"/>
        <v>Eligible</v>
      </c>
    </row>
    <row r="394" spans="1:11" x14ac:dyDescent="0.35">
      <c r="A394" s="4">
        <v>393</v>
      </c>
      <c r="B394" s="3" t="s">
        <v>416</v>
      </c>
      <c r="C394" s="3" t="s">
        <v>11</v>
      </c>
      <c r="D394" s="3" t="s">
        <v>12</v>
      </c>
      <c r="E394" s="3">
        <v>64476</v>
      </c>
      <c r="F394" s="3">
        <v>351870</v>
      </c>
      <c r="G394" s="3" t="s">
        <v>22</v>
      </c>
      <c r="H394" s="3" t="s">
        <v>26</v>
      </c>
      <c r="I394" s="3">
        <v>607</v>
      </c>
      <c r="J394" s="5" t="s">
        <v>24</v>
      </c>
      <c r="K394" s="3" t="str">
        <f t="shared" si="6"/>
        <v>Review</v>
      </c>
    </row>
    <row r="395" spans="1:11" x14ac:dyDescent="0.35">
      <c r="A395" s="4">
        <v>394</v>
      </c>
      <c r="B395" s="3" t="s">
        <v>417</v>
      </c>
      <c r="C395" s="3" t="s">
        <v>17</v>
      </c>
      <c r="D395" s="3" t="s">
        <v>12</v>
      </c>
      <c r="E395" s="3">
        <v>34265</v>
      </c>
      <c r="F395" s="3">
        <v>432670</v>
      </c>
      <c r="G395" s="3" t="s">
        <v>13</v>
      </c>
      <c r="H395" s="3" t="s">
        <v>19</v>
      </c>
      <c r="I395" s="3">
        <v>527</v>
      </c>
      <c r="J395" s="5" t="s">
        <v>32</v>
      </c>
      <c r="K395" s="3" t="str">
        <f t="shared" si="6"/>
        <v>Review</v>
      </c>
    </row>
    <row r="396" spans="1:11" x14ac:dyDescent="0.35">
      <c r="A396" s="4">
        <v>395</v>
      </c>
      <c r="B396" s="3" t="s">
        <v>418</v>
      </c>
      <c r="C396" s="3" t="s">
        <v>17</v>
      </c>
      <c r="D396" s="3" t="s">
        <v>12</v>
      </c>
      <c r="E396" s="3">
        <v>20888</v>
      </c>
      <c r="F396" s="3">
        <v>375774</v>
      </c>
      <c r="G396" s="3" t="s">
        <v>22</v>
      </c>
      <c r="H396" s="3" t="s">
        <v>23</v>
      </c>
      <c r="I396" s="3">
        <v>510</v>
      </c>
      <c r="J396" s="5" t="s">
        <v>15</v>
      </c>
      <c r="K396" s="3" t="str">
        <f t="shared" si="6"/>
        <v>Review</v>
      </c>
    </row>
    <row r="397" spans="1:11" x14ac:dyDescent="0.35">
      <c r="A397" s="4">
        <v>396</v>
      </c>
      <c r="B397" s="3" t="s">
        <v>419</v>
      </c>
      <c r="C397" s="3" t="s">
        <v>11</v>
      </c>
      <c r="D397" s="3" t="s">
        <v>12</v>
      </c>
      <c r="E397" s="3">
        <v>43252</v>
      </c>
      <c r="F397" s="3">
        <v>328845</v>
      </c>
      <c r="G397" s="3" t="s">
        <v>13</v>
      </c>
      <c r="H397" s="3" t="s">
        <v>23</v>
      </c>
      <c r="I397" s="3">
        <v>823</v>
      </c>
      <c r="J397" s="5" t="s">
        <v>32</v>
      </c>
      <c r="K397" s="3" t="str">
        <f t="shared" si="6"/>
        <v>Review</v>
      </c>
    </row>
    <row r="398" spans="1:11" x14ac:dyDescent="0.35">
      <c r="A398" s="4">
        <v>397</v>
      </c>
      <c r="B398" s="3" t="s">
        <v>420</v>
      </c>
      <c r="C398" s="3" t="s">
        <v>11</v>
      </c>
      <c r="D398" s="3" t="s">
        <v>12</v>
      </c>
      <c r="E398" s="3">
        <v>53210</v>
      </c>
      <c r="F398" s="3">
        <v>182004</v>
      </c>
      <c r="G398" s="3" t="s">
        <v>22</v>
      </c>
      <c r="H398" s="3" t="s">
        <v>14</v>
      </c>
      <c r="I398" s="3">
        <v>869</v>
      </c>
      <c r="J398" s="5" t="s">
        <v>15</v>
      </c>
      <c r="K398" s="3" t="str">
        <f t="shared" si="6"/>
        <v>Review</v>
      </c>
    </row>
    <row r="399" spans="1:11" x14ac:dyDescent="0.35">
      <c r="A399" s="4">
        <v>398</v>
      </c>
      <c r="B399" s="3" t="s">
        <v>421</v>
      </c>
      <c r="C399" s="3" t="s">
        <v>11</v>
      </c>
      <c r="D399" s="3" t="s">
        <v>12</v>
      </c>
      <c r="E399" s="3">
        <v>109620</v>
      </c>
      <c r="F399" s="3">
        <v>373484</v>
      </c>
      <c r="G399" s="3" t="s">
        <v>13</v>
      </c>
      <c r="H399" s="3" t="s">
        <v>23</v>
      </c>
      <c r="I399" s="3">
        <v>474</v>
      </c>
      <c r="J399" s="5" t="s">
        <v>32</v>
      </c>
      <c r="K399" s="3" t="str">
        <f t="shared" si="6"/>
        <v>Eligible</v>
      </c>
    </row>
    <row r="400" spans="1:11" x14ac:dyDescent="0.35">
      <c r="A400" s="4">
        <v>399</v>
      </c>
      <c r="B400" s="3" t="s">
        <v>422</v>
      </c>
      <c r="C400" s="3" t="s">
        <v>17</v>
      </c>
      <c r="D400" s="3" t="s">
        <v>12</v>
      </c>
      <c r="E400" s="3">
        <v>110143</v>
      </c>
      <c r="F400" s="3">
        <v>331325</v>
      </c>
      <c r="G400" s="3" t="s">
        <v>22</v>
      </c>
      <c r="H400" s="3" t="s">
        <v>19</v>
      </c>
      <c r="I400" s="3">
        <v>513</v>
      </c>
      <c r="J400" s="5" t="s">
        <v>24</v>
      </c>
      <c r="K400" s="3" t="str">
        <f t="shared" si="6"/>
        <v>Review</v>
      </c>
    </row>
    <row r="401" spans="1:11" x14ac:dyDescent="0.35">
      <c r="A401" s="4">
        <v>400</v>
      </c>
      <c r="B401" s="3" t="s">
        <v>423</v>
      </c>
      <c r="C401" s="3" t="s">
        <v>17</v>
      </c>
      <c r="D401" s="3" t="s">
        <v>21</v>
      </c>
      <c r="E401" s="3">
        <v>46643</v>
      </c>
      <c r="F401" s="3">
        <v>350841</v>
      </c>
      <c r="G401" s="3" t="s">
        <v>13</v>
      </c>
      <c r="H401" s="3" t="s">
        <v>14</v>
      </c>
      <c r="I401" s="3">
        <v>509</v>
      </c>
      <c r="J401" s="5" t="s">
        <v>32</v>
      </c>
      <c r="K401" s="3" t="str">
        <f t="shared" si="6"/>
        <v>Review</v>
      </c>
    </row>
    <row r="402" spans="1:11" x14ac:dyDescent="0.35">
      <c r="A402" s="4">
        <v>401</v>
      </c>
      <c r="B402" s="3" t="s">
        <v>424</v>
      </c>
      <c r="C402" s="3" t="s">
        <v>17</v>
      </c>
      <c r="D402" s="3" t="s">
        <v>18</v>
      </c>
      <c r="E402" s="3">
        <v>43224</v>
      </c>
      <c r="F402" s="3">
        <v>327416</v>
      </c>
      <c r="G402" s="3" t="s">
        <v>13</v>
      </c>
      <c r="H402" s="3" t="s">
        <v>26</v>
      </c>
      <c r="I402" s="3">
        <v>305</v>
      </c>
      <c r="J402" s="5" t="s">
        <v>24</v>
      </c>
      <c r="K402" s="3" t="str">
        <f t="shared" si="6"/>
        <v>Review</v>
      </c>
    </row>
    <row r="403" spans="1:11" x14ac:dyDescent="0.35">
      <c r="A403" s="4">
        <v>402</v>
      </c>
      <c r="B403" s="3" t="s">
        <v>425</v>
      </c>
      <c r="C403" s="3" t="s">
        <v>17</v>
      </c>
      <c r="D403" s="3" t="s">
        <v>12</v>
      </c>
      <c r="E403" s="3">
        <v>115215</v>
      </c>
      <c r="F403" s="3">
        <v>153672</v>
      </c>
      <c r="G403" s="3" t="s">
        <v>22</v>
      </c>
      <c r="H403" s="3" t="s">
        <v>23</v>
      </c>
      <c r="I403" s="3">
        <v>463</v>
      </c>
      <c r="J403" s="5" t="s">
        <v>24</v>
      </c>
      <c r="K403" s="3" t="str">
        <f t="shared" si="6"/>
        <v>Review</v>
      </c>
    </row>
    <row r="404" spans="1:11" x14ac:dyDescent="0.35">
      <c r="A404" s="4">
        <v>403</v>
      </c>
      <c r="B404" s="3" t="s">
        <v>426</v>
      </c>
      <c r="C404" s="3" t="s">
        <v>17</v>
      </c>
      <c r="D404" s="3" t="s">
        <v>21</v>
      </c>
      <c r="E404" s="3">
        <v>100579</v>
      </c>
      <c r="F404" s="3">
        <v>238932</v>
      </c>
      <c r="G404" s="3" t="s">
        <v>22</v>
      </c>
      <c r="H404" s="3" t="s">
        <v>23</v>
      </c>
      <c r="I404" s="3">
        <v>346</v>
      </c>
      <c r="J404" s="5" t="s">
        <v>15</v>
      </c>
      <c r="K404" s="3" t="str">
        <f t="shared" si="6"/>
        <v>Review</v>
      </c>
    </row>
    <row r="405" spans="1:11" x14ac:dyDescent="0.35">
      <c r="A405" s="4">
        <v>404</v>
      </c>
      <c r="B405" s="3" t="s">
        <v>427</v>
      </c>
      <c r="C405" s="3" t="s">
        <v>11</v>
      </c>
      <c r="D405" s="3" t="s">
        <v>18</v>
      </c>
      <c r="E405" s="3">
        <v>82644</v>
      </c>
      <c r="F405" s="3">
        <v>135520</v>
      </c>
      <c r="G405" s="3" t="s">
        <v>22</v>
      </c>
      <c r="H405" s="3" t="s">
        <v>23</v>
      </c>
      <c r="I405" s="3">
        <v>782</v>
      </c>
      <c r="J405" s="5" t="s">
        <v>32</v>
      </c>
      <c r="K405" s="3" t="str">
        <f t="shared" si="6"/>
        <v>Review</v>
      </c>
    </row>
    <row r="406" spans="1:11" x14ac:dyDescent="0.35">
      <c r="A406" s="4">
        <v>405</v>
      </c>
      <c r="B406" s="3" t="s">
        <v>428</v>
      </c>
      <c r="C406" s="3" t="s">
        <v>11</v>
      </c>
      <c r="D406" s="3" t="s">
        <v>18</v>
      </c>
      <c r="E406" s="3">
        <v>52905</v>
      </c>
      <c r="F406" s="3">
        <v>282046</v>
      </c>
      <c r="G406" s="3" t="s">
        <v>13</v>
      </c>
      <c r="H406" s="3" t="s">
        <v>23</v>
      </c>
      <c r="I406" s="3">
        <v>797</v>
      </c>
      <c r="J406" s="5" t="s">
        <v>32</v>
      </c>
      <c r="K406" s="3" t="str">
        <f t="shared" si="6"/>
        <v>Eligible</v>
      </c>
    </row>
    <row r="407" spans="1:11" x14ac:dyDescent="0.35">
      <c r="A407" s="4">
        <v>406</v>
      </c>
      <c r="B407" s="3" t="s">
        <v>429</v>
      </c>
      <c r="C407" s="3" t="s">
        <v>17</v>
      </c>
      <c r="D407" s="3" t="s">
        <v>18</v>
      </c>
      <c r="E407" s="3">
        <v>40233</v>
      </c>
      <c r="F407" s="3">
        <v>272537</v>
      </c>
      <c r="G407" s="3" t="s">
        <v>22</v>
      </c>
      <c r="H407" s="3" t="s">
        <v>26</v>
      </c>
      <c r="I407" s="3">
        <v>349</v>
      </c>
      <c r="J407" s="5" t="s">
        <v>24</v>
      </c>
      <c r="K407" s="3" t="str">
        <f t="shared" si="6"/>
        <v>Review</v>
      </c>
    </row>
    <row r="408" spans="1:11" x14ac:dyDescent="0.35">
      <c r="A408" s="4">
        <v>407</v>
      </c>
      <c r="B408" s="3" t="s">
        <v>430</v>
      </c>
      <c r="C408" s="3" t="s">
        <v>11</v>
      </c>
      <c r="D408" s="3" t="s">
        <v>12</v>
      </c>
      <c r="E408" s="3">
        <v>51820</v>
      </c>
      <c r="F408" s="3">
        <v>295892</v>
      </c>
      <c r="G408" s="3" t="s">
        <v>22</v>
      </c>
      <c r="H408" s="3" t="s">
        <v>14</v>
      </c>
      <c r="I408" s="3">
        <v>710</v>
      </c>
      <c r="J408" s="5" t="s">
        <v>24</v>
      </c>
      <c r="K408" s="3" t="str">
        <f t="shared" si="6"/>
        <v>Review</v>
      </c>
    </row>
    <row r="409" spans="1:11" x14ac:dyDescent="0.35">
      <c r="A409" s="4">
        <v>408</v>
      </c>
      <c r="B409" s="3" t="s">
        <v>431</v>
      </c>
      <c r="C409" s="3" t="s">
        <v>17</v>
      </c>
      <c r="D409" s="3" t="s">
        <v>18</v>
      </c>
      <c r="E409" s="3">
        <v>109857</v>
      </c>
      <c r="F409" s="3">
        <v>441670</v>
      </c>
      <c r="G409" s="3" t="s">
        <v>22</v>
      </c>
      <c r="H409" s="3" t="s">
        <v>19</v>
      </c>
      <c r="I409" s="3">
        <v>529</v>
      </c>
      <c r="J409" s="5" t="s">
        <v>15</v>
      </c>
      <c r="K409" s="3" t="str">
        <f t="shared" si="6"/>
        <v>Review</v>
      </c>
    </row>
    <row r="410" spans="1:11" x14ac:dyDescent="0.35">
      <c r="A410" s="4">
        <v>409</v>
      </c>
      <c r="B410" s="3" t="s">
        <v>432</v>
      </c>
      <c r="C410" s="3" t="s">
        <v>17</v>
      </c>
      <c r="D410" s="3" t="s">
        <v>21</v>
      </c>
      <c r="E410" s="3">
        <v>85962</v>
      </c>
      <c r="F410" s="3">
        <v>427802</v>
      </c>
      <c r="G410" s="3" t="s">
        <v>13</v>
      </c>
      <c r="H410" s="3" t="s">
        <v>14</v>
      </c>
      <c r="I410" s="3">
        <v>872</v>
      </c>
      <c r="J410" s="5" t="s">
        <v>15</v>
      </c>
      <c r="K410" s="3" t="str">
        <f t="shared" si="6"/>
        <v>Eligible</v>
      </c>
    </row>
    <row r="411" spans="1:11" x14ac:dyDescent="0.35">
      <c r="A411" s="4">
        <v>410</v>
      </c>
      <c r="B411" s="3" t="s">
        <v>433</v>
      </c>
      <c r="C411" s="3" t="s">
        <v>11</v>
      </c>
      <c r="D411" s="3" t="s">
        <v>12</v>
      </c>
      <c r="E411" s="3">
        <v>113977</v>
      </c>
      <c r="F411" s="3">
        <v>233476</v>
      </c>
      <c r="G411" s="3" t="s">
        <v>13</v>
      </c>
      <c r="H411" s="3" t="s">
        <v>19</v>
      </c>
      <c r="I411" s="3">
        <v>705</v>
      </c>
      <c r="J411" s="5" t="s">
        <v>32</v>
      </c>
      <c r="K411" s="3" t="str">
        <f t="shared" si="6"/>
        <v>Eligible</v>
      </c>
    </row>
    <row r="412" spans="1:11" x14ac:dyDescent="0.35">
      <c r="A412" s="4">
        <v>411</v>
      </c>
      <c r="B412" s="3" t="s">
        <v>434</v>
      </c>
      <c r="C412" s="3" t="s">
        <v>17</v>
      </c>
      <c r="D412" s="3" t="s">
        <v>18</v>
      </c>
      <c r="E412" s="3">
        <v>110404</v>
      </c>
      <c r="F412" s="3">
        <v>115921</v>
      </c>
      <c r="G412" s="3" t="s">
        <v>22</v>
      </c>
      <c r="H412" s="3" t="s">
        <v>23</v>
      </c>
      <c r="I412" s="3">
        <v>746</v>
      </c>
      <c r="J412" s="5" t="s">
        <v>32</v>
      </c>
      <c r="K412" s="3" t="str">
        <f t="shared" si="6"/>
        <v>Review</v>
      </c>
    </row>
    <row r="413" spans="1:11" x14ac:dyDescent="0.35">
      <c r="A413" s="4">
        <v>412</v>
      </c>
      <c r="B413" s="3" t="s">
        <v>435</v>
      </c>
      <c r="C413" s="3" t="s">
        <v>11</v>
      </c>
      <c r="D413" s="3" t="s">
        <v>12</v>
      </c>
      <c r="E413" s="3">
        <v>54017</v>
      </c>
      <c r="F413" s="3">
        <v>360561</v>
      </c>
      <c r="G413" s="3" t="s">
        <v>22</v>
      </c>
      <c r="H413" s="3" t="s">
        <v>26</v>
      </c>
      <c r="I413" s="3">
        <v>305</v>
      </c>
      <c r="J413" s="5" t="s">
        <v>32</v>
      </c>
      <c r="K413" s="3" t="str">
        <f t="shared" si="6"/>
        <v>Review</v>
      </c>
    </row>
    <row r="414" spans="1:11" x14ac:dyDescent="0.35">
      <c r="A414" s="4">
        <v>413</v>
      </c>
      <c r="B414" s="3" t="s">
        <v>436</v>
      </c>
      <c r="C414" s="3" t="s">
        <v>11</v>
      </c>
      <c r="D414" s="3" t="s">
        <v>18</v>
      </c>
      <c r="E414" s="3">
        <v>94153</v>
      </c>
      <c r="F414" s="3">
        <v>325705</v>
      </c>
      <c r="G414" s="3" t="s">
        <v>22</v>
      </c>
      <c r="H414" s="3" t="s">
        <v>14</v>
      </c>
      <c r="I414" s="3">
        <v>765</v>
      </c>
      <c r="J414" s="5" t="s">
        <v>32</v>
      </c>
      <c r="K414" s="3" t="str">
        <f t="shared" si="6"/>
        <v>Review</v>
      </c>
    </row>
    <row r="415" spans="1:11" x14ac:dyDescent="0.35">
      <c r="A415" s="4">
        <v>414</v>
      </c>
      <c r="B415" s="3" t="s">
        <v>437</v>
      </c>
      <c r="C415" s="3" t="s">
        <v>17</v>
      </c>
      <c r="D415" s="3" t="s">
        <v>21</v>
      </c>
      <c r="E415" s="3">
        <v>116846</v>
      </c>
      <c r="F415" s="3">
        <v>173547</v>
      </c>
      <c r="G415" s="3" t="s">
        <v>22</v>
      </c>
      <c r="H415" s="3" t="s">
        <v>14</v>
      </c>
      <c r="I415" s="3">
        <v>586</v>
      </c>
      <c r="J415" s="5" t="s">
        <v>32</v>
      </c>
      <c r="K415" s="3" t="str">
        <f t="shared" si="6"/>
        <v>Review</v>
      </c>
    </row>
    <row r="416" spans="1:11" x14ac:dyDescent="0.35">
      <c r="A416" s="4">
        <v>415</v>
      </c>
      <c r="B416" s="3" t="s">
        <v>438</v>
      </c>
      <c r="C416" s="3" t="s">
        <v>11</v>
      </c>
      <c r="D416" s="3" t="s">
        <v>18</v>
      </c>
      <c r="E416" s="3">
        <v>47752</v>
      </c>
      <c r="F416" s="3">
        <v>134216</v>
      </c>
      <c r="G416" s="3" t="s">
        <v>13</v>
      </c>
      <c r="H416" s="3" t="s">
        <v>23</v>
      </c>
      <c r="I416" s="3">
        <v>302</v>
      </c>
      <c r="J416" s="5" t="s">
        <v>32</v>
      </c>
      <c r="K416" s="3" t="str">
        <f t="shared" si="6"/>
        <v>Review</v>
      </c>
    </row>
    <row r="417" spans="1:11" x14ac:dyDescent="0.35">
      <c r="A417" s="4">
        <v>416</v>
      </c>
      <c r="B417" s="3" t="s">
        <v>439</v>
      </c>
      <c r="C417" s="3" t="s">
        <v>17</v>
      </c>
      <c r="D417" s="3" t="s">
        <v>21</v>
      </c>
      <c r="E417" s="3">
        <v>63745</v>
      </c>
      <c r="F417" s="3">
        <v>161814</v>
      </c>
      <c r="G417" s="3" t="s">
        <v>13</v>
      </c>
      <c r="H417" s="3" t="s">
        <v>19</v>
      </c>
      <c r="I417" s="3">
        <v>868</v>
      </c>
      <c r="J417" s="5" t="s">
        <v>24</v>
      </c>
      <c r="K417" s="3" t="str">
        <f t="shared" si="6"/>
        <v>Eligible</v>
      </c>
    </row>
    <row r="418" spans="1:11" x14ac:dyDescent="0.35">
      <c r="A418" s="4">
        <v>417</v>
      </c>
      <c r="B418" s="3" t="s">
        <v>440</v>
      </c>
      <c r="C418" s="3" t="s">
        <v>11</v>
      </c>
      <c r="D418" s="3" t="s">
        <v>12</v>
      </c>
      <c r="E418" s="3">
        <v>95238</v>
      </c>
      <c r="F418" s="3">
        <v>186434</v>
      </c>
      <c r="G418" s="3" t="s">
        <v>13</v>
      </c>
      <c r="H418" s="3" t="s">
        <v>14</v>
      </c>
      <c r="I418" s="3">
        <v>540</v>
      </c>
      <c r="J418" s="5" t="s">
        <v>24</v>
      </c>
      <c r="K418" s="3" t="str">
        <f t="shared" si="6"/>
        <v>Eligible</v>
      </c>
    </row>
    <row r="419" spans="1:11" x14ac:dyDescent="0.35">
      <c r="A419" s="4">
        <v>418</v>
      </c>
      <c r="B419" s="3" t="s">
        <v>441</v>
      </c>
      <c r="C419" s="3" t="s">
        <v>17</v>
      </c>
      <c r="D419" s="3" t="s">
        <v>12</v>
      </c>
      <c r="E419" s="3">
        <v>64180</v>
      </c>
      <c r="F419" s="3">
        <v>169197</v>
      </c>
      <c r="G419" s="3" t="s">
        <v>22</v>
      </c>
      <c r="H419" s="3" t="s">
        <v>14</v>
      </c>
      <c r="I419" s="3">
        <v>801</v>
      </c>
      <c r="J419" s="5" t="s">
        <v>32</v>
      </c>
      <c r="K419" s="3" t="str">
        <f t="shared" si="6"/>
        <v>Review</v>
      </c>
    </row>
    <row r="420" spans="1:11" x14ac:dyDescent="0.35">
      <c r="A420" s="4">
        <v>419</v>
      </c>
      <c r="B420" s="3" t="s">
        <v>442</v>
      </c>
      <c r="C420" s="3" t="s">
        <v>17</v>
      </c>
      <c r="D420" s="3" t="s">
        <v>18</v>
      </c>
      <c r="E420" s="3">
        <v>32329</v>
      </c>
      <c r="F420" s="3">
        <v>457166</v>
      </c>
      <c r="G420" s="3" t="s">
        <v>22</v>
      </c>
      <c r="H420" s="3" t="s">
        <v>14</v>
      </c>
      <c r="I420" s="3">
        <v>512</v>
      </c>
      <c r="J420" s="5" t="s">
        <v>24</v>
      </c>
      <c r="K420" s="3" t="str">
        <f t="shared" si="6"/>
        <v>Review</v>
      </c>
    </row>
    <row r="421" spans="1:11" x14ac:dyDescent="0.35">
      <c r="A421" s="4">
        <v>420</v>
      </c>
      <c r="B421" s="3" t="s">
        <v>443</v>
      </c>
      <c r="C421" s="3" t="s">
        <v>17</v>
      </c>
      <c r="D421" s="3" t="s">
        <v>21</v>
      </c>
      <c r="E421" s="3">
        <v>58041</v>
      </c>
      <c r="F421" s="3">
        <v>362990</v>
      </c>
      <c r="G421" s="3" t="s">
        <v>22</v>
      </c>
      <c r="H421" s="3" t="s">
        <v>26</v>
      </c>
      <c r="I421" s="3">
        <v>519</v>
      </c>
      <c r="J421" s="5" t="s">
        <v>32</v>
      </c>
      <c r="K421" s="3" t="str">
        <f t="shared" si="6"/>
        <v>Review</v>
      </c>
    </row>
    <row r="422" spans="1:11" x14ac:dyDescent="0.35">
      <c r="A422" s="4">
        <v>421</v>
      </c>
      <c r="B422" s="3" t="s">
        <v>444</v>
      </c>
      <c r="C422" s="3" t="s">
        <v>11</v>
      </c>
      <c r="D422" s="3" t="s">
        <v>12</v>
      </c>
      <c r="E422" s="3">
        <v>104413</v>
      </c>
      <c r="F422" s="3">
        <v>161532</v>
      </c>
      <c r="G422" s="3" t="s">
        <v>22</v>
      </c>
      <c r="H422" s="3" t="s">
        <v>19</v>
      </c>
      <c r="I422" s="3">
        <v>379</v>
      </c>
      <c r="J422" s="5" t="s">
        <v>24</v>
      </c>
      <c r="K422" s="3" t="str">
        <f t="shared" si="6"/>
        <v>Review</v>
      </c>
    </row>
    <row r="423" spans="1:11" x14ac:dyDescent="0.35">
      <c r="A423" s="4">
        <v>422</v>
      </c>
      <c r="B423" s="3" t="s">
        <v>445</v>
      </c>
      <c r="C423" s="3" t="s">
        <v>17</v>
      </c>
      <c r="D423" s="3" t="s">
        <v>21</v>
      </c>
      <c r="E423" s="3">
        <v>56015</v>
      </c>
      <c r="F423" s="3">
        <v>157019</v>
      </c>
      <c r="G423" s="3" t="s">
        <v>13</v>
      </c>
      <c r="H423" s="3" t="s">
        <v>19</v>
      </c>
      <c r="I423" s="3">
        <v>729</v>
      </c>
      <c r="J423" s="5" t="s">
        <v>15</v>
      </c>
      <c r="K423" s="3" t="str">
        <f t="shared" si="6"/>
        <v>Eligible</v>
      </c>
    </row>
    <row r="424" spans="1:11" x14ac:dyDescent="0.35">
      <c r="A424" s="4">
        <v>423</v>
      </c>
      <c r="B424" s="3" t="s">
        <v>446</v>
      </c>
      <c r="C424" s="3" t="s">
        <v>11</v>
      </c>
      <c r="D424" s="3" t="s">
        <v>21</v>
      </c>
      <c r="E424" s="3">
        <v>102409</v>
      </c>
      <c r="F424" s="3">
        <v>42769</v>
      </c>
      <c r="G424" s="3" t="s">
        <v>22</v>
      </c>
      <c r="H424" s="3" t="s">
        <v>19</v>
      </c>
      <c r="I424" s="3">
        <v>870</v>
      </c>
      <c r="J424" s="5" t="s">
        <v>24</v>
      </c>
      <c r="K424" s="3" t="str">
        <f t="shared" si="6"/>
        <v>Review</v>
      </c>
    </row>
    <row r="425" spans="1:11" x14ac:dyDescent="0.35">
      <c r="A425" s="4">
        <v>424</v>
      </c>
      <c r="B425" s="3" t="s">
        <v>447</v>
      </c>
      <c r="C425" s="3" t="s">
        <v>17</v>
      </c>
      <c r="D425" s="3" t="s">
        <v>12</v>
      </c>
      <c r="E425" s="3">
        <v>88315</v>
      </c>
      <c r="F425" s="3">
        <v>370362</v>
      </c>
      <c r="G425" s="3" t="s">
        <v>13</v>
      </c>
      <c r="H425" s="3" t="s">
        <v>19</v>
      </c>
      <c r="I425" s="3">
        <v>876</v>
      </c>
      <c r="J425" s="5" t="s">
        <v>32</v>
      </c>
      <c r="K425" s="3" t="str">
        <f t="shared" si="6"/>
        <v>Eligible</v>
      </c>
    </row>
    <row r="426" spans="1:11" x14ac:dyDescent="0.35">
      <c r="A426" s="4">
        <v>425</v>
      </c>
      <c r="B426" s="3" t="s">
        <v>448</v>
      </c>
      <c r="C426" s="3" t="s">
        <v>17</v>
      </c>
      <c r="D426" s="3" t="s">
        <v>12</v>
      </c>
      <c r="E426" s="3">
        <v>29101</v>
      </c>
      <c r="F426" s="3">
        <v>296790</v>
      </c>
      <c r="G426" s="3" t="s">
        <v>22</v>
      </c>
      <c r="H426" s="3" t="s">
        <v>26</v>
      </c>
      <c r="I426" s="3">
        <v>475</v>
      </c>
      <c r="J426" s="5" t="s">
        <v>15</v>
      </c>
      <c r="K426" s="3" t="str">
        <f t="shared" si="6"/>
        <v>Review</v>
      </c>
    </row>
    <row r="427" spans="1:11" x14ac:dyDescent="0.35">
      <c r="A427" s="4">
        <v>426</v>
      </c>
      <c r="B427" s="3" t="s">
        <v>449</v>
      </c>
      <c r="C427" s="3" t="s">
        <v>11</v>
      </c>
      <c r="D427" s="3" t="s">
        <v>12</v>
      </c>
      <c r="E427" s="3">
        <v>75967</v>
      </c>
      <c r="F427" s="3">
        <v>318048</v>
      </c>
      <c r="G427" s="3" t="s">
        <v>22</v>
      </c>
      <c r="H427" s="3" t="s">
        <v>26</v>
      </c>
      <c r="I427" s="3">
        <v>467</v>
      </c>
      <c r="J427" s="5" t="s">
        <v>15</v>
      </c>
      <c r="K427" s="3" t="str">
        <f t="shared" si="6"/>
        <v>Review</v>
      </c>
    </row>
    <row r="428" spans="1:11" x14ac:dyDescent="0.35">
      <c r="A428" s="4">
        <v>427</v>
      </c>
      <c r="B428" s="3" t="s">
        <v>450</v>
      </c>
      <c r="C428" s="3" t="s">
        <v>17</v>
      </c>
      <c r="D428" s="3" t="s">
        <v>12</v>
      </c>
      <c r="E428" s="3">
        <v>43247</v>
      </c>
      <c r="F428" s="3">
        <v>459621</v>
      </c>
      <c r="G428" s="3" t="s">
        <v>13</v>
      </c>
      <c r="H428" s="3" t="s">
        <v>19</v>
      </c>
      <c r="I428" s="3">
        <v>589</v>
      </c>
      <c r="J428" s="5" t="s">
        <v>15</v>
      </c>
      <c r="K428" s="3" t="str">
        <f t="shared" si="6"/>
        <v>Review</v>
      </c>
    </row>
    <row r="429" spans="1:11" x14ac:dyDescent="0.35">
      <c r="A429" s="4">
        <v>428</v>
      </c>
      <c r="B429" s="3" t="s">
        <v>451</v>
      </c>
      <c r="C429" s="3" t="s">
        <v>11</v>
      </c>
      <c r="D429" s="3" t="s">
        <v>12</v>
      </c>
      <c r="E429" s="3">
        <v>91652</v>
      </c>
      <c r="F429" s="3">
        <v>273773</v>
      </c>
      <c r="G429" s="3" t="s">
        <v>13</v>
      </c>
      <c r="H429" s="3" t="s">
        <v>14</v>
      </c>
      <c r="I429" s="3">
        <v>691</v>
      </c>
      <c r="J429" s="5" t="s">
        <v>32</v>
      </c>
      <c r="K429" s="3" t="str">
        <f t="shared" si="6"/>
        <v>Eligible</v>
      </c>
    </row>
    <row r="430" spans="1:11" x14ac:dyDescent="0.35">
      <c r="A430" s="4">
        <v>429</v>
      </c>
      <c r="B430" s="3" t="s">
        <v>452</v>
      </c>
      <c r="C430" s="3" t="s">
        <v>11</v>
      </c>
      <c r="D430" s="3" t="s">
        <v>12</v>
      </c>
      <c r="E430" s="3">
        <v>116443</v>
      </c>
      <c r="F430" s="3">
        <v>389585</v>
      </c>
      <c r="G430" s="3" t="s">
        <v>13</v>
      </c>
      <c r="H430" s="3" t="s">
        <v>26</v>
      </c>
      <c r="I430" s="3">
        <v>392</v>
      </c>
      <c r="J430" s="5" t="s">
        <v>24</v>
      </c>
      <c r="K430" s="3" t="str">
        <f t="shared" si="6"/>
        <v>Eligible</v>
      </c>
    </row>
    <row r="431" spans="1:11" x14ac:dyDescent="0.35">
      <c r="A431" s="4">
        <v>430</v>
      </c>
      <c r="B431" s="3" t="s">
        <v>453</v>
      </c>
      <c r="C431" s="3" t="s">
        <v>11</v>
      </c>
      <c r="D431" s="3" t="s">
        <v>18</v>
      </c>
      <c r="E431" s="3">
        <v>25874</v>
      </c>
      <c r="F431" s="3">
        <v>171916</v>
      </c>
      <c r="G431" s="3" t="s">
        <v>13</v>
      </c>
      <c r="H431" s="3" t="s">
        <v>14</v>
      </c>
      <c r="I431" s="3">
        <v>513</v>
      </c>
      <c r="J431" s="5" t="s">
        <v>24</v>
      </c>
      <c r="K431" s="3" t="str">
        <f t="shared" si="6"/>
        <v>Review</v>
      </c>
    </row>
    <row r="432" spans="1:11" x14ac:dyDescent="0.35">
      <c r="A432" s="4">
        <v>431</v>
      </c>
      <c r="B432" s="3" t="s">
        <v>454</v>
      </c>
      <c r="C432" s="3" t="s">
        <v>11</v>
      </c>
      <c r="D432" s="3" t="s">
        <v>21</v>
      </c>
      <c r="E432" s="3">
        <v>98764</v>
      </c>
      <c r="F432" s="3">
        <v>314613</v>
      </c>
      <c r="G432" s="3" t="s">
        <v>13</v>
      </c>
      <c r="H432" s="3" t="s">
        <v>23</v>
      </c>
      <c r="I432" s="3">
        <v>352</v>
      </c>
      <c r="J432" s="5" t="s">
        <v>15</v>
      </c>
      <c r="K432" s="3" t="str">
        <f t="shared" si="6"/>
        <v>Eligible</v>
      </c>
    </row>
    <row r="433" spans="1:11" x14ac:dyDescent="0.35">
      <c r="A433" s="4">
        <v>432</v>
      </c>
      <c r="B433" s="3" t="s">
        <v>455</v>
      </c>
      <c r="C433" s="3" t="s">
        <v>11</v>
      </c>
      <c r="D433" s="3" t="s">
        <v>21</v>
      </c>
      <c r="E433" s="3">
        <v>86017</v>
      </c>
      <c r="F433" s="3">
        <v>455745</v>
      </c>
      <c r="G433" s="3" t="s">
        <v>22</v>
      </c>
      <c r="H433" s="3" t="s">
        <v>19</v>
      </c>
      <c r="I433" s="3">
        <v>637</v>
      </c>
      <c r="J433" s="5" t="s">
        <v>24</v>
      </c>
      <c r="K433" s="3" t="str">
        <f t="shared" si="6"/>
        <v>Review</v>
      </c>
    </row>
    <row r="434" spans="1:11" x14ac:dyDescent="0.35">
      <c r="A434" s="4">
        <v>433</v>
      </c>
      <c r="B434" s="3" t="s">
        <v>456</v>
      </c>
      <c r="C434" s="3" t="s">
        <v>11</v>
      </c>
      <c r="D434" s="3" t="s">
        <v>18</v>
      </c>
      <c r="E434" s="3">
        <v>82283</v>
      </c>
      <c r="F434" s="3">
        <v>320908</v>
      </c>
      <c r="G434" s="3" t="s">
        <v>22</v>
      </c>
      <c r="H434" s="3" t="s">
        <v>19</v>
      </c>
      <c r="I434" s="3">
        <v>322</v>
      </c>
      <c r="J434" s="5" t="s">
        <v>15</v>
      </c>
      <c r="K434" s="3" t="str">
        <f t="shared" si="6"/>
        <v>Review</v>
      </c>
    </row>
    <row r="435" spans="1:11" x14ac:dyDescent="0.35">
      <c r="A435" s="4">
        <v>434</v>
      </c>
      <c r="B435" s="3" t="s">
        <v>457</v>
      </c>
      <c r="C435" s="3" t="s">
        <v>17</v>
      </c>
      <c r="D435" s="3" t="s">
        <v>12</v>
      </c>
      <c r="E435" s="3">
        <v>59037</v>
      </c>
      <c r="F435" s="3">
        <v>10220</v>
      </c>
      <c r="G435" s="3" t="s">
        <v>13</v>
      </c>
      <c r="H435" s="3" t="s">
        <v>19</v>
      </c>
      <c r="I435" s="3">
        <v>540</v>
      </c>
      <c r="J435" s="5" t="s">
        <v>15</v>
      </c>
      <c r="K435" s="3" t="str">
        <f t="shared" si="6"/>
        <v>Eligible</v>
      </c>
    </row>
    <row r="436" spans="1:11" x14ac:dyDescent="0.35">
      <c r="A436" s="4">
        <v>435</v>
      </c>
      <c r="B436" s="3" t="s">
        <v>458</v>
      </c>
      <c r="C436" s="3" t="s">
        <v>11</v>
      </c>
      <c r="D436" s="3" t="s">
        <v>12</v>
      </c>
      <c r="E436" s="3">
        <v>21626</v>
      </c>
      <c r="F436" s="3">
        <v>447028</v>
      </c>
      <c r="G436" s="3" t="s">
        <v>22</v>
      </c>
      <c r="H436" s="3" t="s">
        <v>23</v>
      </c>
      <c r="I436" s="3">
        <v>320</v>
      </c>
      <c r="J436" s="5" t="s">
        <v>24</v>
      </c>
      <c r="K436" s="3" t="str">
        <f t="shared" si="6"/>
        <v>Review</v>
      </c>
    </row>
    <row r="437" spans="1:11" x14ac:dyDescent="0.35">
      <c r="A437" s="4">
        <v>436</v>
      </c>
      <c r="B437" s="3" t="s">
        <v>459</v>
      </c>
      <c r="C437" s="3" t="s">
        <v>11</v>
      </c>
      <c r="D437" s="3" t="s">
        <v>21</v>
      </c>
      <c r="E437" s="3">
        <v>39885</v>
      </c>
      <c r="F437" s="3">
        <v>147155</v>
      </c>
      <c r="G437" s="3" t="s">
        <v>13</v>
      </c>
      <c r="H437" s="3" t="s">
        <v>14</v>
      </c>
      <c r="I437" s="3">
        <v>345</v>
      </c>
      <c r="J437" s="5" t="s">
        <v>32</v>
      </c>
      <c r="K437" s="3" t="str">
        <f t="shared" si="6"/>
        <v>Review</v>
      </c>
    </row>
    <row r="438" spans="1:11" x14ac:dyDescent="0.35">
      <c r="A438" s="4">
        <v>437</v>
      </c>
      <c r="B438" s="3" t="s">
        <v>460</v>
      </c>
      <c r="C438" s="3" t="s">
        <v>17</v>
      </c>
      <c r="D438" s="3" t="s">
        <v>18</v>
      </c>
      <c r="E438" s="3">
        <v>51010</v>
      </c>
      <c r="F438" s="3">
        <v>497896</v>
      </c>
      <c r="G438" s="3" t="s">
        <v>22</v>
      </c>
      <c r="H438" s="3" t="s">
        <v>14</v>
      </c>
      <c r="I438" s="3">
        <v>349</v>
      </c>
      <c r="J438" s="5" t="s">
        <v>32</v>
      </c>
      <c r="K438" s="3" t="str">
        <f t="shared" si="6"/>
        <v>Review</v>
      </c>
    </row>
    <row r="439" spans="1:11" x14ac:dyDescent="0.35">
      <c r="A439" s="4">
        <v>438</v>
      </c>
      <c r="B439" s="3" t="s">
        <v>461</v>
      </c>
      <c r="C439" s="3" t="s">
        <v>17</v>
      </c>
      <c r="D439" s="3" t="s">
        <v>12</v>
      </c>
      <c r="E439" s="3">
        <v>84574</v>
      </c>
      <c r="F439" s="3">
        <v>222804</v>
      </c>
      <c r="G439" s="3" t="s">
        <v>22</v>
      </c>
      <c r="H439" s="3" t="s">
        <v>26</v>
      </c>
      <c r="I439" s="3">
        <v>574</v>
      </c>
      <c r="J439" s="5" t="s">
        <v>32</v>
      </c>
      <c r="K439" s="3" t="str">
        <f t="shared" si="6"/>
        <v>Review</v>
      </c>
    </row>
    <row r="440" spans="1:11" x14ac:dyDescent="0.35">
      <c r="A440" s="4">
        <v>439</v>
      </c>
      <c r="B440" s="3" t="s">
        <v>462</v>
      </c>
      <c r="C440" s="3" t="s">
        <v>17</v>
      </c>
      <c r="D440" s="3" t="s">
        <v>21</v>
      </c>
      <c r="E440" s="3">
        <v>62925</v>
      </c>
      <c r="F440" s="3">
        <v>460672</v>
      </c>
      <c r="G440" s="3" t="s">
        <v>22</v>
      </c>
      <c r="H440" s="3" t="s">
        <v>26</v>
      </c>
      <c r="I440" s="3">
        <v>473</v>
      </c>
      <c r="J440" s="5" t="s">
        <v>24</v>
      </c>
      <c r="K440" s="3" t="str">
        <f t="shared" si="6"/>
        <v>Review</v>
      </c>
    </row>
    <row r="441" spans="1:11" x14ac:dyDescent="0.35">
      <c r="A441" s="4">
        <v>440</v>
      </c>
      <c r="B441" s="3" t="s">
        <v>463</v>
      </c>
      <c r="C441" s="3" t="s">
        <v>11</v>
      </c>
      <c r="D441" s="3" t="s">
        <v>12</v>
      </c>
      <c r="E441" s="3">
        <v>20759</v>
      </c>
      <c r="F441" s="3">
        <v>464295</v>
      </c>
      <c r="G441" s="3" t="s">
        <v>22</v>
      </c>
      <c r="H441" s="3" t="s">
        <v>19</v>
      </c>
      <c r="I441" s="3">
        <v>305</v>
      </c>
      <c r="J441" s="5" t="s">
        <v>15</v>
      </c>
      <c r="K441" s="3" t="str">
        <f t="shared" si="6"/>
        <v>Review</v>
      </c>
    </row>
    <row r="442" spans="1:11" x14ac:dyDescent="0.35">
      <c r="A442" s="4">
        <v>441</v>
      </c>
      <c r="B442" s="3" t="s">
        <v>464</v>
      </c>
      <c r="C442" s="3" t="s">
        <v>11</v>
      </c>
      <c r="D442" s="3" t="s">
        <v>18</v>
      </c>
      <c r="E442" s="3">
        <v>31223</v>
      </c>
      <c r="F442" s="3">
        <v>184848</v>
      </c>
      <c r="G442" s="3" t="s">
        <v>13</v>
      </c>
      <c r="H442" s="3" t="s">
        <v>19</v>
      </c>
      <c r="I442" s="3">
        <v>814</v>
      </c>
      <c r="J442" s="5" t="s">
        <v>24</v>
      </c>
      <c r="K442" s="3" t="str">
        <f t="shared" si="6"/>
        <v>Review</v>
      </c>
    </row>
    <row r="443" spans="1:11" x14ac:dyDescent="0.35">
      <c r="A443" s="4">
        <v>442</v>
      </c>
      <c r="B443" s="3" t="s">
        <v>465</v>
      </c>
      <c r="C443" s="3" t="s">
        <v>11</v>
      </c>
      <c r="D443" s="3" t="s">
        <v>21</v>
      </c>
      <c r="E443" s="3">
        <v>82496</v>
      </c>
      <c r="F443" s="3">
        <v>467399</v>
      </c>
      <c r="G443" s="3" t="s">
        <v>13</v>
      </c>
      <c r="H443" s="3" t="s">
        <v>23</v>
      </c>
      <c r="I443" s="3">
        <v>866</v>
      </c>
      <c r="J443" s="5" t="s">
        <v>32</v>
      </c>
      <c r="K443" s="3" t="str">
        <f t="shared" si="6"/>
        <v>Eligible</v>
      </c>
    </row>
    <row r="444" spans="1:11" x14ac:dyDescent="0.35">
      <c r="A444" s="4">
        <v>443</v>
      </c>
      <c r="B444" s="3" t="s">
        <v>466</v>
      </c>
      <c r="C444" s="3" t="s">
        <v>17</v>
      </c>
      <c r="D444" s="3" t="s">
        <v>12</v>
      </c>
      <c r="E444" s="3">
        <v>68720</v>
      </c>
      <c r="F444" s="3">
        <v>265281</v>
      </c>
      <c r="G444" s="3" t="s">
        <v>22</v>
      </c>
      <c r="H444" s="3" t="s">
        <v>14</v>
      </c>
      <c r="I444" s="3">
        <v>398</v>
      </c>
      <c r="J444" s="5" t="s">
        <v>15</v>
      </c>
      <c r="K444" s="3" t="str">
        <f t="shared" si="6"/>
        <v>Review</v>
      </c>
    </row>
    <row r="445" spans="1:11" x14ac:dyDescent="0.35">
      <c r="A445" s="4">
        <v>444</v>
      </c>
      <c r="B445" s="3" t="s">
        <v>467</v>
      </c>
      <c r="C445" s="3" t="s">
        <v>17</v>
      </c>
      <c r="D445" s="3" t="s">
        <v>21</v>
      </c>
      <c r="E445" s="3">
        <v>24608</v>
      </c>
      <c r="F445" s="3">
        <v>341624</v>
      </c>
      <c r="G445" s="3" t="s">
        <v>22</v>
      </c>
      <c r="H445" s="3" t="s">
        <v>23</v>
      </c>
      <c r="I445" s="3">
        <v>363</v>
      </c>
      <c r="J445" s="5" t="s">
        <v>15</v>
      </c>
      <c r="K445" s="3" t="str">
        <f t="shared" si="6"/>
        <v>Review</v>
      </c>
    </row>
    <row r="446" spans="1:11" x14ac:dyDescent="0.35">
      <c r="A446" s="4">
        <v>445</v>
      </c>
      <c r="B446" s="3" t="s">
        <v>468</v>
      </c>
      <c r="C446" s="3" t="s">
        <v>11</v>
      </c>
      <c r="D446" s="3" t="s">
        <v>18</v>
      </c>
      <c r="E446" s="3">
        <v>109404</v>
      </c>
      <c r="F446" s="3">
        <v>115283</v>
      </c>
      <c r="G446" s="3" t="s">
        <v>13</v>
      </c>
      <c r="H446" s="3" t="s">
        <v>23</v>
      </c>
      <c r="I446" s="3">
        <v>484</v>
      </c>
      <c r="J446" s="5" t="s">
        <v>24</v>
      </c>
      <c r="K446" s="3" t="str">
        <f t="shared" si="6"/>
        <v>Eligible</v>
      </c>
    </row>
    <row r="447" spans="1:11" x14ac:dyDescent="0.35">
      <c r="A447" s="4">
        <v>446</v>
      </c>
      <c r="B447" s="3" t="s">
        <v>469</v>
      </c>
      <c r="C447" s="3" t="s">
        <v>17</v>
      </c>
      <c r="D447" s="3" t="s">
        <v>12</v>
      </c>
      <c r="E447" s="3">
        <v>77642</v>
      </c>
      <c r="F447" s="3">
        <v>176332</v>
      </c>
      <c r="G447" s="3" t="s">
        <v>22</v>
      </c>
      <c r="H447" s="3" t="s">
        <v>14</v>
      </c>
      <c r="I447" s="3">
        <v>683</v>
      </c>
      <c r="J447" s="5" t="s">
        <v>32</v>
      </c>
      <c r="K447" s="3" t="str">
        <f t="shared" si="6"/>
        <v>Review</v>
      </c>
    </row>
    <row r="448" spans="1:11" x14ac:dyDescent="0.35">
      <c r="A448" s="4">
        <v>447</v>
      </c>
      <c r="B448" s="3" t="s">
        <v>470</v>
      </c>
      <c r="C448" s="3" t="s">
        <v>17</v>
      </c>
      <c r="D448" s="3" t="s">
        <v>18</v>
      </c>
      <c r="E448" s="3">
        <v>92556</v>
      </c>
      <c r="F448" s="3">
        <v>50843</v>
      </c>
      <c r="G448" s="3" t="s">
        <v>22</v>
      </c>
      <c r="H448" s="3" t="s">
        <v>23</v>
      </c>
      <c r="I448" s="3">
        <v>733</v>
      </c>
      <c r="J448" s="5" t="s">
        <v>24</v>
      </c>
      <c r="K448" s="3" t="str">
        <f t="shared" si="6"/>
        <v>Review</v>
      </c>
    </row>
    <row r="449" spans="1:11" x14ac:dyDescent="0.35">
      <c r="A449" s="4">
        <v>448</v>
      </c>
      <c r="B449" s="3" t="s">
        <v>471</v>
      </c>
      <c r="C449" s="3" t="s">
        <v>11</v>
      </c>
      <c r="D449" s="3" t="s">
        <v>21</v>
      </c>
      <c r="E449" s="3">
        <v>71936</v>
      </c>
      <c r="F449" s="3">
        <v>30995</v>
      </c>
      <c r="G449" s="3" t="s">
        <v>13</v>
      </c>
      <c r="H449" s="3" t="s">
        <v>14</v>
      </c>
      <c r="I449" s="3">
        <v>429</v>
      </c>
      <c r="J449" s="5" t="s">
        <v>32</v>
      </c>
      <c r="K449" s="3" t="str">
        <f t="shared" si="6"/>
        <v>Eligible</v>
      </c>
    </row>
    <row r="450" spans="1:11" x14ac:dyDescent="0.35">
      <c r="A450" s="4">
        <v>449</v>
      </c>
      <c r="B450" s="3" t="s">
        <v>472</v>
      </c>
      <c r="C450" s="3" t="s">
        <v>11</v>
      </c>
      <c r="D450" s="3" t="s">
        <v>21</v>
      </c>
      <c r="E450" s="3">
        <v>86066</v>
      </c>
      <c r="F450" s="3">
        <v>7882</v>
      </c>
      <c r="G450" s="3" t="s">
        <v>13</v>
      </c>
      <c r="H450" s="3" t="s">
        <v>14</v>
      </c>
      <c r="I450" s="3">
        <v>847</v>
      </c>
      <c r="J450" s="5" t="s">
        <v>15</v>
      </c>
      <c r="K450" s="3" t="str">
        <f t="shared" ref="K450:K501" si="7">IF(AND(E450&gt;50000,G450="Approved"),"Eligible","Review")</f>
        <v>Eligible</v>
      </c>
    </row>
    <row r="451" spans="1:11" x14ac:dyDescent="0.35">
      <c r="A451" s="4">
        <v>450</v>
      </c>
      <c r="B451" s="3" t="s">
        <v>473</v>
      </c>
      <c r="C451" s="3" t="s">
        <v>11</v>
      </c>
      <c r="D451" s="3" t="s">
        <v>12</v>
      </c>
      <c r="E451" s="3">
        <v>67695</v>
      </c>
      <c r="F451" s="3">
        <v>88758</v>
      </c>
      <c r="G451" s="3" t="s">
        <v>13</v>
      </c>
      <c r="H451" s="3" t="s">
        <v>19</v>
      </c>
      <c r="I451" s="3">
        <v>412</v>
      </c>
      <c r="J451" s="5" t="s">
        <v>15</v>
      </c>
      <c r="K451" s="3" t="str">
        <f t="shared" si="7"/>
        <v>Eligible</v>
      </c>
    </row>
    <row r="452" spans="1:11" x14ac:dyDescent="0.35">
      <c r="A452" s="4">
        <v>451</v>
      </c>
      <c r="B452" s="3" t="s">
        <v>474</v>
      </c>
      <c r="C452" s="3" t="s">
        <v>11</v>
      </c>
      <c r="D452" s="3" t="s">
        <v>21</v>
      </c>
      <c r="E452" s="3">
        <v>90168</v>
      </c>
      <c r="F452" s="3">
        <v>385299</v>
      </c>
      <c r="G452" s="3" t="s">
        <v>22</v>
      </c>
      <c r="H452" s="3" t="s">
        <v>19</v>
      </c>
      <c r="I452" s="3">
        <v>432</v>
      </c>
      <c r="J452" s="5" t="s">
        <v>15</v>
      </c>
      <c r="K452" s="3" t="str">
        <f t="shared" si="7"/>
        <v>Review</v>
      </c>
    </row>
    <row r="453" spans="1:11" x14ac:dyDescent="0.35">
      <c r="A453" s="4">
        <v>452</v>
      </c>
      <c r="B453" s="3" t="s">
        <v>475</v>
      </c>
      <c r="C453" s="3" t="s">
        <v>17</v>
      </c>
      <c r="D453" s="3" t="s">
        <v>12</v>
      </c>
      <c r="E453" s="3">
        <v>74671</v>
      </c>
      <c r="F453" s="3">
        <v>294173</v>
      </c>
      <c r="G453" s="3" t="s">
        <v>22</v>
      </c>
      <c r="H453" s="3" t="s">
        <v>23</v>
      </c>
      <c r="I453" s="3">
        <v>859</v>
      </c>
      <c r="J453" s="5" t="s">
        <v>24</v>
      </c>
      <c r="K453" s="3" t="str">
        <f t="shared" si="7"/>
        <v>Review</v>
      </c>
    </row>
    <row r="454" spans="1:11" x14ac:dyDescent="0.35">
      <c r="A454" s="4">
        <v>453</v>
      </c>
      <c r="B454" s="3" t="s">
        <v>476</v>
      </c>
      <c r="C454" s="3" t="s">
        <v>17</v>
      </c>
      <c r="D454" s="3" t="s">
        <v>21</v>
      </c>
      <c r="E454" s="3">
        <v>75195</v>
      </c>
      <c r="F454" s="3">
        <v>166350</v>
      </c>
      <c r="G454" s="3" t="s">
        <v>22</v>
      </c>
      <c r="H454" s="3" t="s">
        <v>23</v>
      </c>
      <c r="I454" s="3">
        <v>660</v>
      </c>
      <c r="J454" s="5" t="s">
        <v>24</v>
      </c>
      <c r="K454" s="3" t="str">
        <f t="shared" si="7"/>
        <v>Review</v>
      </c>
    </row>
    <row r="455" spans="1:11" x14ac:dyDescent="0.35">
      <c r="A455" s="4">
        <v>454</v>
      </c>
      <c r="B455" s="3" t="s">
        <v>477</v>
      </c>
      <c r="C455" s="3" t="s">
        <v>11</v>
      </c>
      <c r="D455" s="3" t="s">
        <v>12</v>
      </c>
      <c r="E455" s="3">
        <v>42216</v>
      </c>
      <c r="F455" s="3">
        <v>289463</v>
      </c>
      <c r="G455" s="3" t="s">
        <v>13</v>
      </c>
      <c r="H455" s="3" t="s">
        <v>19</v>
      </c>
      <c r="I455" s="3">
        <v>710</v>
      </c>
      <c r="J455" s="5" t="s">
        <v>24</v>
      </c>
      <c r="K455" s="3" t="str">
        <f t="shared" si="7"/>
        <v>Review</v>
      </c>
    </row>
    <row r="456" spans="1:11" x14ac:dyDescent="0.35">
      <c r="A456" s="4">
        <v>455</v>
      </c>
      <c r="B456" s="3" t="s">
        <v>478</v>
      </c>
      <c r="C456" s="3" t="s">
        <v>11</v>
      </c>
      <c r="D456" s="3" t="s">
        <v>12</v>
      </c>
      <c r="E456" s="3">
        <v>119562</v>
      </c>
      <c r="F456" s="3">
        <v>291086</v>
      </c>
      <c r="G456" s="3" t="s">
        <v>13</v>
      </c>
      <c r="H456" s="3" t="s">
        <v>26</v>
      </c>
      <c r="I456" s="3">
        <v>372</v>
      </c>
      <c r="J456" s="5" t="s">
        <v>24</v>
      </c>
      <c r="K456" s="3" t="str">
        <f t="shared" si="7"/>
        <v>Eligible</v>
      </c>
    </row>
    <row r="457" spans="1:11" x14ac:dyDescent="0.35">
      <c r="A457" s="4">
        <v>456</v>
      </c>
      <c r="B457" s="3" t="s">
        <v>479</v>
      </c>
      <c r="C457" s="3" t="s">
        <v>17</v>
      </c>
      <c r="D457" s="3" t="s">
        <v>18</v>
      </c>
      <c r="E457" s="3">
        <v>90527</v>
      </c>
      <c r="F457" s="3">
        <v>320570</v>
      </c>
      <c r="G457" s="3" t="s">
        <v>22</v>
      </c>
      <c r="H457" s="3" t="s">
        <v>23</v>
      </c>
      <c r="I457" s="3">
        <v>431</v>
      </c>
      <c r="J457" s="5" t="s">
        <v>15</v>
      </c>
      <c r="K457" s="3" t="str">
        <f t="shared" si="7"/>
        <v>Review</v>
      </c>
    </row>
    <row r="458" spans="1:11" x14ac:dyDescent="0.35">
      <c r="A458" s="4">
        <v>457</v>
      </c>
      <c r="B458" s="3" t="s">
        <v>480</v>
      </c>
      <c r="C458" s="3" t="s">
        <v>17</v>
      </c>
      <c r="D458" s="3" t="s">
        <v>12</v>
      </c>
      <c r="E458" s="3">
        <v>76827</v>
      </c>
      <c r="F458" s="3">
        <v>210506</v>
      </c>
      <c r="G458" s="3" t="s">
        <v>13</v>
      </c>
      <c r="H458" s="3" t="s">
        <v>19</v>
      </c>
      <c r="I458" s="3">
        <v>625</v>
      </c>
      <c r="J458" s="5" t="s">
        <v>24</v>
      </c>
      <c r="K458" s="3" t="str">
        <f t="shared" si="7"/>
        <v>Eligible</v>
      </c>
    </row>
    <row r="459" spans="1:11" x14ac:dyDescent="0.35">
      <c r="A459" s="4">
        <v>458</v>
      </c>
      <c r="B459" s="3" t="s">
        <v>481</v>
      </c>
      <c r="C459" s="3" t="s">
        <v>11</v>
      </c>
      <c r="D459" s="3" t="s">
        <v>18</v>
      </c>
      <c r="E459" s="3">
        <v>93294</v>
      </c>
      <c r="F459" s="3">
        <v>372522</v>
      </c>
      <c r="G459" s="3" t="s">
        <v>13</v>
      </c>
      <c r="H459" s="3" t="s">
        <v>19</v>
      </c>
      <c r="I459" s="3">
        <v>335</v>
      </c>
      <c r="J459" s="5" t="s">
        <v>32</v>
      </c>
      <c r="K459" s="3" t="str">
        <f t="shared" si="7"/>
        <v>Eligible</v>
      </c>
    </row>
    <row r="460" spans="1:11" x14ac:dyDescent="0.35">
      <c r="A460" s="4">
        <v>459</v>
      </c>
      <c r="B460" s="3" t="s">
        <v>482</v>
      </c>
      <c r="C460" s="3" t="s">
        <v>11</v>
      </c>
      <c r="D460" s="3" t="s">
        <v>12</v>
      </c>
      <c r="E460" s="3">
        <v>48588</v>
      </c>
      <c r="F460" s="3">
        <v>245475</v>
      </c>
      <c r="G460" s="3" t="s">
        <v>13</v>
      </c>
      <c r="H460" s="3" t="s">
        <v>26</v>
      </c>
      <c r="I460" s="3">
        <v>516</v>
      </c>
      <c r="J460" s="5" t="s">
        <v>32</v>
      </c>
      <c r="K460" s="3" t="str">
        <f t="shared" si="7"/>
        <v>Review</v>
      </c>
    </row>
    <row r="461" spans="1:11" x14ac:dyDescent="0.35">
      <c r="A461" s="4">
        <v>460</v>
      </c>
      <c r="B461" s="3" t="s">
        <v>483</v>
      </c>
      <c r="C461" s="3" t="s">
        <v>11</v>
      </c>
      <c r="D461" s="3" t="s">
        <v>12</v>
      </c>
      <c r="E461" s="3">
        <v>46989</v>
      </c>
      <c r="F461" s="3">
        <v>166967</v>
      </c>
      <c r="G461" s="3" t="s">
        <v>22</v>
      </c>
      <c r="H461" s="3" t="s">
        <v>19</v>
      </c>
      <c r="I461" s="3">
        <v>414</v>
      </c>
      <c r="J461" s="5" t="s">
        <v>32</v>
      </c>
      <c r="K461" s="3" t="str">
        <f t="shared" si="7"/>
        <v>Review</v>
      </c>
    </row>
    <row r="462" spans="1:11" x14ac:dyDescent="0.35">
      <c r="A462" s="4">
        <v>461</v>
      </c>
      <c r="B462" s="3" t="s">
        <v>484</v>
      </c>
      <c r="C462" s="3" t="s">
        <v>11</v>
      </c>
      <c r="D462" s="3" t="s">
        <v>12</v>
      </c>
      <c r="E462" s="3">
        <v>64075</v>
      </c>
      <c r="F462" s="3">
        <v>452040</v>
      </c>
      <c r="G462" s="3" t="s">
        <v>13</v>
      </c>
      <c r="H462" s="3" t="s">
        <v>23</v>
      </c>
      <c r="I462" s="3">
        <v>840</v>
      </c>
      <c r="J462" s="5" t="s">
        <v>15</v>
      </c>
      <c r="K462" s="3" t="str">
        <f t="shared" si="7"/>
        <v>Eligible</v>
      </c>
    </row>
    <row r="463" spans="1:11" x14ac:dyDescent="0.35">
      <c r="A463" s="4">
        <v>462</v>
      </c>
      <c r="B463" s="3" t="s">
        <v>485</v>
      </c>
      <c r="C463" s="3" t="s">
        <v>11</v>
      </c>
      <c r="D463" s="3" t="s">
        <v>21</v>
      </c>
      <c r="E463" s="3">
        <v>73930</v>
      </c>
      <c r="F463" s="3">
        <v>21286</v>
      </c>
      <c r="G463" s="3" t="s">
        <v>13</v>
      </c>
      <c r="H463" s="3" t="s">
        <v>19</v>
      </c>
      <c r="I463" s="3">
        <v>778</v>
      </c>
      <c r="J463" s="5" t="s">
        <v>15</v>
      </c>
      <c r="K463" s="3" t="str">
        <f t="shared" si="7"/>
        <v>Eligible</v>
      </c>
    </row>
    <row r="464" spans="1:11" x14ac:dyDescent="0.35">
      <c r="A464" s="4">
        <v>463</v>
      </c>
      <c r="B464" s="3" t="s">
        <v>486</v>
      </c>
      <c r="C464" s="3" t="s">
        <v>17</v>
      </c>
      <c r="D464" s="3" t="s">
        <v>18</v>
      </c>
      <c r="E464" s="3">
        <v>60385</v>
      </c>
      <c r="F464" s="3">
        <v>247626</v>
      </c>
      <c r="G464" s="3" t="s">
        <v>22</v>
      </c>
      <c r="H464" s="3" t="s">
        <v>19</v>
      </c>
      <c r="I464" s="3">
        <v>743</v>
      </c>
      <c r="J464" s="5" t="s">
        <v>24</v>
      </c>
      <c r="K464" s="3" t="str">
        <f t="shared" si="7"/>
        <v>Review</v>
      </c>
    </row>
    <row r="465" spans="1:11" x14ac:dyDescent="0.35">
      <c r="A465" s="4">
        <v>464</v>
      </c>
      <c r="B465" s="3" t="s">
        <v>487</v>
      </c>
      <c r="C465" s="3" t="s">
        <v>11</v>
      </c>
      <c r="D465" s="3" t="s">
        <v>21</v>
      </c>
      <c r="E465" s="3">
        <v>107128</v>
      </c>
      <c r="F465" s="3">
        <v>22133</v>
      </c>
      <c r="G465" s="3" t="s">
        <v>13</v>
      </c>
      <c r="H465" s="3" t="s">
        <v>26</v>
      </c>
      <c r="I465" s="3">
        <v>783</v>
      </c>
      <c r="J465" s="5" t="s">
        <v>24</v>
      </c>
      <c r="K465" s="3" t="str">
        <f t="shared" si="7"/>
        <v>Eligible</v>
      </c>
    </row>
    <row r="466" spans="1:11" x14ac:dyDescent="0.35">
      <c r="A466" s="4">
        <v>465</v>
      </c>
      <c r="B466" s="3" t="s">
        <v>488</v>
      </c>
      <c r="C466" s="3" t="s">
        <v>17</v>
      </c>
      <c r="D466" s="3" t="s">
        <v>12</v>
      </c>
      <c r="E466" s="3">
        <v>61777</v>
      </c>
      <c r="F466" s="3">
        <v>29512</v>
      </c>
      <c r="G466" s="3" t="s">
        <v>13</v>
      </c>
      <c r="H466" s="3" t="s">
        <v>14</v>
      </c>
      <c r="I466" s="3">
        <v>750</v>
      </c>
      <c r="J466" s="5" t="s">
        <v>32</v>
      </c>
      <c r="K466" s="3" t="str">
        <f t="shared" si="7"/>
        <v>Eligible</v>
      </c>
    </row>
    <row r="467" spans="1:11" x14ac:dyDescent="0.35">
      <c r="A467" s="4">
        <v>466</v>
      </c>
      <c r="B467" s="3" t="s">
        <v>489</v>
      </c>
      <c r="C467" s="3" t="s">
        <v>17</v>
      </c>
      <c r="D467" s="3" t="s">
        <v>12</v>
      </c>
      <c r="E467" s="3">
        <v>25072</v>
      </c>
      <c r="F467" s="3">
        <v>91505</v>
      </c>
      <c r="G467" s="3" t="s">
        <v>13</v>
      </c>
      <c r="H467" s="3" t="s">
        <v>14</v>
      </c>
      <c r="I467" s="3">
        <v>686</v>
      </c>
      <c r="J467" s="5" t="s">
        <v>15</v>
      </c>
      <c r="K467" s="3" t="str">
        <f t="shared" si="7"/>
        <v>Review</v>
      </c>
    </row>
    <row r="468" spans="1:11" x14ac:dyDescent="0.35">
      <c r="A468" s="4">
        <v>467</v>
      </c>
      <c r="B468" s="3" t="s">
        <v>490</v>
      </c>
      <c r="C468" s="3" t="s">
        <v>11</v>
      </c>
      <c r="D468" s="3" t="s">
        <v>21</v>
      </c>
      <c r="E468" s="3">
        <v>62980</v>
      </c>
      <c r="F468" s="3">
        <v>391395</v>
      </c>
      <c r="G468" s="3" t="s">
        <v>22</v>
      </c>
      <c r="H468" s="3" t="s">
        <v>19</v>
      </c>
      <c r="I468" s="3">
        <v>325</v>
      </c>
      <c r="J468" s="5" t="s">
        <v>32</v>
      </c>
      <c r="K468" s="3" t="str">
        <f t="shared" si="7"/>
        <v>Review</v>
      </c>
    </row>
    <row r="469" spans="1:11" x14ac:dyDescent="0.35">
      <c r="A469" s="4">
        <v>468</v>
      </c>
      <c r="B469" s="3" t="s">
        <v>491</v>
      </c>
      <c r="C469" s="3" t="s">
        <v>11</v>
      </c>
      <c r="D469" s="3" t="s">
        <v>12</v>
      </c>
      <c r="E469" s="3">
        <v>75610</v>
      </c>
      <c r="F469" s="3">
        <v>436055</v>
      </c>
      <c r="G469" s="3" t="s">
        <v>22</v>
      </c>
      <c r="H469" s="3" t="s">
        <v>23</v>
      </c>
      <c r="I469" s="3">
        <v>610</v>
      </c>
      <c r="J469" s="5" t="s">
        <v>24</v>
      </c>
      <c r="K469" s="3" t="str">
        <f t="shared" si="7"/>
        <v>Review</v>
      </c>
    </row>
    <row r="470" spans="1:11" x14ac:dyDescent="0.35">
      <c r="A470" s="4">
        <v>469</v>
      </c>
      <c r="B470" s="3" t="s">
        <v>492</v>
      </c>
      <c r="C470" s="3" t="s">
        <v>11</v>
      </c>
      <c r="D470" s="3" t="s">
        <v>18</v>
      </c>
      <c r="E470" s="3">
        <v>94437</v>
      </c>
      <c r="F470" s="3">
        <v>459141</v>
      </c>
      <c r="G470" s="3" t="s">
        <v>22</v>
      </c>
      <c r="H470" s="3" t="s">
        <v>19</v>
      </c>
      <c r="I470" s="3">
        <v>393</v>
      </c>
      <c r="J470" s="5" t="s">
        <v>32</v>
      </c>
      <c r="K470" s="3" t="str">
        <f t="shared" si="7"/>
        <v>Review</v>
      </c>
    </row>
    <row r="471" spans="1:11" x14ac:dyDescent="0.35">
      <c r="A471" s="4">
        <v>470</v>
      </c>
      <c r="B471" s="3" t="s">
        <v>493</v>
      </c>
      <c r="C471" s="3" t="s">
        <v>11</v>
      </c>
      <c r="D471" s="3" t="s">
        <v>21</v>
      </c>
      <c r="E471" s="3">
        <v>108716</v>
      </c>
      <c r="F471" s="3">
        <v>57258</v>
      </c>
      <c r="G471" s="3" t="s">
        <v>22</v>
      </c>
      <c r="H471" s="3" t="s">
        <v>26</v>
      </c>
      <c r="I471" s="3">
        <v>670</v>
      </c>
      <c r="J471" s="5" t="s">
        <v>24</v>
      </c>
      <c r="K471" s="3" t="str">
        <f t="shared" si="7"/>
        <v>Review</v>
      </c>
    </row>
    <row r="472" spans="1:11" x14ac:dyDescent="0.35">
      <c r="A472" s="4">
        <v>471</v>
      </c>
      <c r="B472" s="3" t="s">
        <v>494</v>
      </c>
      <c r="C472" s="3" t="s">
        <v>17</v>
      </c>
      <c r="D472" s="3" t="s">
        <v>18</v>
      </c>
      <c r="E472" s="3">
        <v>71368</v>
      </c>
      <c r="F472" s="3">
        <v>130863</v>
      </c>
      <c r="G472" s="3" t="s">
        <v>13</v>
      </c>
      <c r="H472" s="3" t="s">
        <v>19</v>
      </c>
      <c r="I472" s="3">
        <v>362</v>
      </c>
      <c r="J472" s="5" t="s">
        <v>32</v>
      </c>
      <c r="K472" s="3" t="str">
        <f t="shared" si="7"/>
        <v>Eligible</v>
      </c>
    </row>
    <row r="473" spans="1:11" x14ac:dyDescent="0.35">
      <c r="A473" s="4">
        <v>472</v>
      </c>
      <c r="B473" s="3" t="s">
        <v>495</v>
      </c>
      <c r="C473" s="3" t="s">
        <v>11</v>
      </c>
      <c r="D473" s="3" t="s">
        <v>21</v>
      </c>
      <c r="E473" s="3">
        <v>56863</v>
      </c>
      <c r="F473" s="3">
        <v>228962</v>
      </c>
      <c r="G473" s="3" t="s">
        <v>22</v>
      </c>
      <c r="H473" s="3" t="s">
        <v>23</v>
      </c>
      <c r="I473" s="3">
        <v>717</v>
      </c>
      <c r="J473" s="5" t="s">
        <v>15</v>
      </c>
      <c r="K473" s="3" t="str">
        <f t="shared" si="7"/>
        <v>Review</v>
      </c>
    </row>
    <row r="474" spans="1:11" x14ac:dyDescent="0.35">
      <c r="A474" s="4">
        <v>473</v>
      </c>
      <c r="B474" s="3" t="s">
        <v>496</v>
      </c>
      <c r="C474" s="3" t="s">
        <v>11</v>
      </c>
      <c r="D474" s="3" t="s">
        <v>12</v>
      </c>
      <c r="E474" s="3">
        <v>101668</v>
      </c>
      <c r="F474" s="3">
        <v>189563</v>
      </c>
      <c r="G474" s="3" t="s">
        <v>13</v>
      </c>
      <c r="H474" s="3" t="s">
        <v>19</v>
      </c>
      <c r="I474" s="3">
        <v>835</v>
      </c>
      <c r="J474" s="5" t="s">
        <v>15</v>
      </c>
      <c r="K474" s="3" t="str">
        <f t="shared" si="7"/>
        <v>Eligible</v>
      </c>
    </row>
    <row r="475" spans="1:11" x14ac:dyDescent="0.35">
      <c r="A475" s="4">
        <v>474</v>
      </c>
      <c r="B475" s="3" t="s">
        <v>497</v>
      </c>
      <c r="C475" s="3" t="s">
        <v>11</v>
      </c>
      <c r="D475" s="3" t="s">
        <v>12</v>
      </c>
      <c r="E475" s="3">
        <v>48777</v>
      </c>
      <c r="F475" s="3">
        <v>461536</v>
      </c>
      <c r="G475" s="3" t="s">
        <v>13</v>
      </c>
      <c r="H475" s="3" t="s">
        <v>19</v>
      </c>
      <c r="I475" s="3">
        <v>472</v>
      </c>
      <c r="J475" s="5" t="s">
        <v>15</v>
      </c>
      <c r="K475" s="3" t="str">
        <f t="shared" si="7"/>
        <v>Review</v>
      </c>
    </row>
    <row r="476" spans="1:11" x14ac:dyDescent="0.35">
      <c r="A476" s="4">
        <v>475</v>
      </c>
      <c r="B476" s="3" t="s">
        <v>498</v>
      </c>
      <c r="C476" s="3" t="s">
        <v>11</v>
      </c>
      <c r="D476" s="3" t="s">
        <v>18</v>
      </c>
      <c r="E476" s="3">
        <v>23419</v>
      </c>
      <c r="F476" s="3">
        <v>297979</v>
      </c>
      <c r="G476" s="3" t="s">
        <v>13</v>
      </c>
      <c r="H476" s="3" t="s">
        <v>19</v>
      </c>
      <c r="I476" s="3">
        <v>711</v>
      </c>
      <c r="J476" s="5" t="s">
        <v>32</v>
      </c>
      <c r="K476" s="3" t="str">
        <f t="shared" si="7"/>
        <v>Review</v>
      </c>
    </row>
    <row r="477" spans="1:11" x14ac:dyDescent="0.35">
      <c r="A477" s="4">
        <v>476</v>
      </c>
      <c r="B477" s="3" t="s">
        <v>499</v>
      </c>
      <c r="C477" s="3" t="s">
        <v>17</v>
      </c>
      <c r="D477" s="3" t="s">
        <v>18</v>
      </c>
      <c r="E477" s="3">
        <v>100834</v>
      </c>
      <c r="F477" s="3">
        <v>64559</v>
      </c>
      <c r="G477" s="3" t="s">
        <v>22</v>
      </c>
      <c r="H477" s="3" t="s">
        <v>23</v>
      </c>
      <c r="I477" s="3">
        <v>372</v>
      </c>
      <c r="J477" s="5" t="s">
        <v>15</v>
      </c>
      <c r="K477" s="3" t="str">
        <f t="shared" si="7"/>
        <v>Review</v>
      </c>
    </row>
    <row r="478" spans="1:11" x14ac:dyDescent="0.35">
      <c r="A478" s="4">
        <v>477</v>
      </c>
      <c r="B478" s="3" t="s">
        <v>500</v>
      </c>
      <c r="C478" s="3" t="s">
        <v>11</v>
      </c>
      <c r="D478" s="3" t="s">
        <v>12</v>
      </c>
      <c r="E478" s="3">
        <v>62419</v>
      </c>
      <c r="F478" s="3">
        <v>490433</v>
      </c>
      <c r="G478" s="3" t="s">
        <v>22</v>
      </c>
      <c r="H478" s="3" t="s">
        <v>26</v>
      </c>
      <c r="I478" s="3">
        <v>448</v>
      </c>
      <c r="J478" s="5" t="s">
        <v>32</v>
      </c>
      <c r="K478" s="3" t="str">
        <f t="shared" si="7"/>
        <v>Review</v>
      </c>
    </row>
    <row r="479" spans="1:11" x14ac:dyDescent="0.35">
      <c r="A479" s="4">
        <v>478</v>
      </c>
      <c r="B479" s="3" t="s">
        <v>501</v>
      </c>
      <c r="C479" s="3" t="s">
        <v>17</v>
      </c>
      <c r="D479" s="3" t="s">
        <v>12</v>
      </c>
      <c r="E479" s="3">
        <v>81097</v>
      </c>
      <c r="F479" s="3">
        <v>346556</v>
      </c>
      <c r="G479" s="3" t="s">
        <v>22</v>
      </c>
      <c r="H479" s="3" t="s">
        <v>19</v>
      </c>
      <c r="I479" s="3">
        <v>510</v>
      </c>
      <c r="J479" s="5" t="s">
        <v>24</v>
      </c>
      <c r="K479" s="3" t="str">
        <f t="shared" si="7"/>
        <v>Review</v>
      </c>
    </row>
    <row r="480" spans="1:11" x14ac:dyDescent="0.35">
      <c r="A480" s="4">
        <v>479</v>
      </c>
      <c r="B480" s="3" t="s">
        <v>502</v>
      </c>
      <c r="C480" s="3" t="s">
        <v>11</v>
      </c>
      <c r="D480" s="3" t="s">
        <v>12</v>
      </c>
      <c r="E480" s="3">
        <v>22640</v>
      </c>
      <c r="F480" s="3">
        <v>151523</v>
      </c>
      <c r="G480" s="3" t="s">
        <v>13</v>
      </c>
      <c r="H480" s="3" t="s">
        <v>19</v>
      </c>
      <c r="I480" s="3">
        <v>830</v>
      </c>
      <c r="J480" s="5" t="s">
        <v>15</v>
      </c>
      <c r="K480" s="3" t="str">
        <f t="shared" si="7"/>
        <v>Review</v>
      </c>
    </row>
    <row r="481" spans="1:11" x14ac:dyDescent="0.35">
      <c r="A481" s="4">
        <v>480</v>
      </c>
      <c r="B481" s="3" t="s">
        <v>503</v>
      </c>
      <c r="C481" s="3" t="s">
        <v>11</v>
      </c>
      <c r="D481" s="3" t="s">
        <v>12</v>
      </c>
      <c r="E481" s="3">
        <v>22575</v>
      </c>
      <c r="F481" s="3">
        <v>223490</v>
      </c>
      <c r="G481" s="3" t="s">
        <v>13</v>
      </c>
      <c r="H481" s="3" t="s">
        <v>23</v>
      </c>
      <c r="I481" s="3">
        <v>383</v>
      </c>
      <c r="J481" s="5" t="s">
        <v>32</v>
      </c>
      <c r="K481" s="3" t="str">
        <f t="shared" si="7"/>
        <v>Review</v>
      </c>
    </row>
    <row r="482" spans="1:11" x14ac:dyDescent="0.35">
      <c r="A482" s="4">
        <v>481</v>
      </c>
      <c r="B482" s="3" t="s">
        <v>504</v>
      </c>
      <c r="C482" s="3" t="s">
        <v>17</v>
      </c>
      <c r="D482" s="3" t="s">
        <v>18</v>
      </c>
      <c r="E482" s="3">
        <v>81098</v>
      </c>
      <c r="F482" s="3">
        <v>49936</v>
      </c>
      <c r="G482" s="3" t="s">
        <v>13</v>
      </c>
      <c r="H482" s="3" t="s">
        <v>14</v>
      </c>
      <c r="I482" s="3">
        <v>658</v>
      </c>
      <c r="J482" s="5" t="s">
        <v>15</v>
      </c>
      <c r="K482" s="3" t="str">
        <f t="shared" si="7"/>
        <v>Eligible</v>
      </c>
    </row>
    <row r="483" spans="1:11" x14ac:dyDescent="0.35">
      <c r="A483" s="4">
        <v>482</v>
      </c>
      <c r="B483" s="3" t="s">
        <v>505</v>
      </c>
      <c r="C483" s="3" t="s">
        <v>17</v>
      </c>
      <c r="D483" s="3" t="s">
        <v>12</v>
      </c>
      <c r="E483" s="3">
        <v>41518</v>
      </c>
      <c r="F483" s="3">
        <v>33372</v>
      </c>
      <c r="G483" s="3" t="s">
        <v>22</v>
      </c>
      <c r="H483" s="3" t="s">
        <v>14</v>
      </c>
      <c r="I483" s="3">
        <v>748</v>
      </c>
      <c r="J483" s="5" t="s">
        <v>15</v>
      </c>
      <c r="K483" s="3" t="str">
        <f t="shared" si="7"/>
        <v>Review</v>
      </c>
    </row>
    <row r="484" spans="1:11" x14ac:dyDescent="0.35">
      <c r="A484" s="4">
        <v>483</v>
      </c>
      <c r="B484" s="3" t="s">
        <v>506</v>
      </c>
      <c r="C484" s="3" t="s">
        <v>11</v>
      </c>
      <c r="D484" s="3" t="s">
        <v>21</v>
      </c>
      <c r="E484" s="3">
        <v>29544</v>
      </c>
      <c r="F484" s="3">
        <v>31459</v>
      </c>
      <c r="G484" s="3" t="s">
        <v>22</v>
      </c>
      <c r="H484" s="3" t="s">
        <v>14</v>
      </c>
      <c r="I484" s="3">
        <v>845</v>
      </c>
      <c r="J484" s="5" t="s">
        <v>32</v>
      </c>
      <c r="K484" s="3" t="str">
        <f t="shared" si="7"/>
        <v>Review</v>
      </c>
    </row>
    <row r="485" spans="1:11" x14ac:dyDescent="0.35">
      <c r="A485" s="4">
        <v>484</v>
      </c>
      <c r="B485" s="3" t="s">
        <v>507</v>
      </c>
      <c r="C485" s="3" t="s">
        <v>17</v>
      </c>
      <c r="D485" s="3" t="s">
        <v>18</v>
      </c>
      <c r="E485" s="3">
        <v>69334</v>
      </c>
      <c r="F485" s="3">
        <v>11616</v>
      </c>
      <c r="G485" s="3" t="s">
        <v>22</v>
      </c>
      <c r="H485" s="3" t="s">
        <v>19</v>
      </c>
      <c r="I485" s="3">
        <v>342</v>
      </c>
      <c r="J485" s="5" t="s">
        <v>15</v>
      </c>
      <c r="K485" s="3" t="str">
        <f t="shared" si="7"/>
        <v>Review</v>
      </c>
    </row>
    <row r="486" spans="1:11" x14ac:dyDescent="0.35">
      <c r="A486" s="4">
        <v>485</v>
      </c>
      <c r="B486" s="3" t="s">
        <v>508</v>
      </c>
      <c r="C486" s="3" t="s">
        <v>17</v>
      </c>
      <c r="D486" s="3" t="s">
        <v>18</v>
      </c>
      <c r="E486" s="3">
        <v>102570</v>
      </c>
      <c r="F486" s="3">
        <v>478667</v>
      </c>
      <c r="G486" s="3" t="s">
        <v>13</v>
      </c>
      <c r="H486" s="3" t="s">
        <v>23</v>
      </c>
      <c r="I486" s="3">
        <v>420</v>
      </c>
      <c r="J486" s="5" t="s">
        <v>24</v>
      </c>
      <c r="K486" s="3" t="str">
        <f t="shared" si="7"/>
        <v>Eligible</v>
      </c>
    </row>
    <row r="487" spans="1:11" x14ac:dyDescent="0.35">
      <c r="A487" s="4">
        <v>486</v>
      </c>
      <c r="B487" s="3" t="s">
        <v>509</v>
      </c>
      <c r="C487" s="3" t="s">
        <v>17</v>
      </c>
      <c r="D487" s="3" t="s">
        <v>12</v>
      </c>
      <c r="E487" s="3">
        <v>63379</v>
      </c>
      <c r="F487" s="3">
        <v>285779</v>
      </c>
      <c r="G487" s="3" t="s">
        <v>22</v>
      </c>
      <c r="H487" s="3" t="s">
        <v>14</v>
      </c>
      <c r="I487" s="3">
        <v>740</v>
      </c>
      <c r="J487" s="5" t="s">
        <v>15</v>
      </c>
      <c r="K487" s="3" t="str">
        <f t="shared" si="7"/>
        <v>Review</v>
      </c>
    </row>
    <row r="488" spans="1:11" x14ac:dyDescent="0.35">
      <c r="A488" s="4">
        <v>487</v>
      </c>
      <c r="B488" s="3" t="s">
        <v>510</v>
      </c>
      <c r="C488" s="3" t="s">
        <v>17</v>
      </c>
      <c r="D488" s="3" t="s">
        <v>12</v>
      </c>
      <c r="E488" s="3">
        <v>102578</v>
      </c>
      <c r="F488" s="3">
        <v>364442</v>
      </c>
      <c r="G488" s="3" t="s">
        <v>22</v>
      </c>
      <c r="H488" s="3" t="s">
        <v>26</v>
      </c>
      <c r="I488" s="3">
        <v>710</v>
      </c>
      <c r="J488" s="5" t="s">
        <v>15</v>
      </c>
      <c r="K488" s="3" t="str">
        <f t="shared" si="7"/>
        <v>Review</v>
      </c>
    </row>
    <row r="489" spans="1:11" x14ac:dyDescent="0.35">
      <c r="A489" s="4">
        <v>488</v>
      </c>
      <c r="B489" s="3" t="s">
        <v>511</v>
      </c>
      <c r="C489" s="3" t="s">
        <v>11</v>
      </c>
      <c r="D489" s="3" t="s">
        <v>18</v>
      </c>
      <c r="E489" s="3">
        <v>68522</v>
      </c>
      <c r="F489" s="3">
        <v>362800</v>
      </c>
      <c r="G489" s="3" t="s">
        <v>22</v>
      </c>
      <c r="H489" s="3" t="s">
        <v>23</v>
      </c>
      <c r="I489" s="3">
        <v>366</v>
      </c>
      <c r="J489" s="5" t="s">
        <v>15</v>
      </c>
      <c r="K489" s="3" t="str">
        <f t="shared" si="7"/>
        <v>Review</v>
      </c>
    </row>
    <row r="490" spans="1:11" x14ac:dyDescent="0.35">
      <c r="A490" s="4">
        <v>489</v>
      </c>
      <c r="B490" s="3" t="s">
        <v>512</v>
      </c>
      <c r="C490" s="3" t="s">
        <v>11</v>
      </c>
      <c r="D490" s="3" t="s">
        <v>12</v>
      </c>
      <c r="E490" s="3">
        <v>115761</v>
      </c>
      <c r="F490" s="3">
        <v>436203</v>
      </c>
      <c r="G490" s="3" t="s">
        <v>22</v>
      </c>
      <c r="H490" s="3" t="s">
        <v>26</v>
      </c>
      <c r="I490" s="3">
        <v>893</v>
      </c>
      <c r="J490" s="5" t="s">
        <v>24</v>
      </c>
      <c r="K490" s="3" t="str">
        <f t="shared" si="7"/>
        <v>Review</v>
      </c>
    </row>
    <row r="491" spans="1:11" x14ac:dyDescent="0.35">
      <c r="A491" s="4">
        <v>490</v>
      </c>
      <c r="B491" s="3" t="s">
        <v>513</v>
      </c>
      <c r="C491" s="3" t="s">
        <v>17</v>
      </c>
      <c r="D491" s="3" t="s">
        <v>12</v>
      </c>
      <c r="E491" s="3">
        <v>89149</v>
      </c>
      <c r="F491" s="3">
        <v>61251</v>
      </c>
      <c r="G491" s="3" t="s">
        <v>13</v>
      </c>
      <c r="H491" s="3" t="s">
        <v>14</v>
      </c>
      <c r="I491" s="3">
        <v>690</v>
      </c>
      <c r="J491" s="5" t="s">
        <v>32</v>
      </c>
      <c r="K491" s="3" t="str">
        <f t="shared" si="7"/>
        <v>Eligible</v>
      </c>
    </row>
    <row r="492" spans="1:11" x14ac:dyDescent="0.35">
      <c r="A492" s="4">
        <v>491</v>
      </c>
      <c r="B492" s="3" t="s">
        <v>514</v>
      </c>
      <c r="C492" s="3" t="s">
        <v>17</v>
      </c>
      <c r="D492" s="3" t="s">
        <v>18</v>
      </c>
      <c r="E492" s="3">
        <v>34421</v>
      </c>
      <c r="F492" s="3">
        <v>499413</v>
      </c>
      <c r="G492" s="3" t="s">
        <v>22</v>
      </c>
      <c r="H492" s="3" t="s">
        <v>19</v>
      </c>
      <c r="I492" s="3">
        <v>814</v>
      </c>
      <c r="J492" s="5" t="s">
        <v>15</v>
      </c>
      <c r="K492" s="3" t="str">
        <f t="shared" si="7"/>
        <v>Review</v>
      </c>
    </row>
    <row r="493" spans="1:11" x14ac:dyDescent="0.35">
      <c r="A493" s="4">
        <v>492</v>
      </c>
      <c r="B493" s="3" t="s">
        <v>515</v>
      </c>
      <c r="C493" s="3" t="s">
        <v>11</v>
      </c>
      <c r="D493" s="3" t="s">
        <v>12</v>
      </c>
      <c r="E493" s="3">
        <v>87225</v>
      </c>
      <c r="F493" s="3">
        <v>297447</v>
      </c>
      <c r="G493" s="3" t="s">
        <v>22</v>
      </c>
      <c r="H493" s="3" t="s">
        <v>19</v>
      </c>
      <c r="I493" s="3">
        <v>519</v>
      </c>
      <c r="J493" s="5" t="s">
        <v>15</v>
      </c>
      <c r="K493" s="3" t="str">
        <f t="shared" si="7"/>
        <v>Review</v>
      </c>
    </row>
    <row r="494" spans="1:11" x14ac:dyDescent="0.35">
      <c r="A494" s="4">
        <v>493</v>
      </c>
      <c r="B494" s="3" t="s">
        <v>516</v>
      </c>
      <c r="C494" s="3" t="s">
        <v>17</v>
      </c>
      <c r="D494" s="3" t="s">
        <v>21</v>
      </c>
      <c r="E494" s="3">
        <v>85297</v>
      </c>
      <c r="F494" s="3">
        <v>20454</v>
      </c>
      <c r="G494" s="3" t="s">
        <v>22</v>
      </c>
      <c r="H494" s="3" t="s">
        <v>14</v>
      </c>
      <c r="I494" s="3">
        <v>789</v>
      </c>
      <c r="J494" s="5" t="s">
        <v>24</v>
      </c>
      <c r="K494" s="3" t="str">
        <f t="shared" si="7"/>
        <v>Review</v>
      </c>
    </row>
    <row r="495" spans="1:11" x14ac:dyDescent="0.35">
      <c r="A495" s="4">
        <v>494</v>
      </c>
      <c r="B495" s="3" t="s">
        <v>517</v>
      </c>
      <c r="C495" s="3" t="s">
        <v>17</v>
      </c>
      <c r="D495" s="3" t="s">
        <v>21</v>
      </c>
      <c r="E495" s="3">
        <v>81164</v>
      </c>
      <c r="F495" s="3">
        <v>457649</v>
      </c>
      <c r="G495" s="3" t="s">
        <v>22</v>
      </c>
      <c r="H495" s="3" t="s">
        <v>26</v>
      </c>
      <c r="I495" s="3">
        <v>358</v>
      </c>
      <c r="J495" s="5" t="s">
        <v>24</v>
      </c>
      <c r="K495" s="3" t="str">
        <f t="shared" si="7"/>
        <v>Review</v>
      </c>
    </row>
    <row r="496" spans="1:11" x14ac:dyDescent="0.35">
      <c r="A496" s="4">
        <v>495</v>
      </c>
      <c r="B496" s="3" t="s">
        <v>518</v>
      </c>
      <c r="C496" s="3" t="s">
        <v>11</v>
      </c>
      <c r="D496" s="3" t="s">
        <v>12</v>
      </c>
      <c r="E496" s="3">
        <v>62727</v>
      </c>
      <c r="F496" s="3">
        <v>8500</v>
      </c>
      <c r="G496" s="3" t="s">
        <v>22</v>
      </c>
      <c r="H496" s="3" t="s">
        <v>26</v>
      </c>
      <c r="I496" s="3">
        <v>800</v>
      </c>
      <c r="J496" s="5" t="s">
        <v>15</v>
      </c>
      <c r="K496" s="3" t="str">
        <f t="shared" si="7"/>
        <v>Review</v>
      </c>
    </row>
    <row r="497" spans="1:11" x14ac:dyDescent="0.35">
      <c r="A497" s="4">
        <v>496</v>
      </c>
      <c r="B497" s="3" t="s">
        <v>519</v>
      </c>
      <c r="C497" s="3" t="s">
        <v>17</v>
      </c>
      <c r="D497" s="3" t="s">
        <v>18</v>
      </c>
      <c r="E497" s="3">
        <v>41137</v>
      </c>
      <c r="F497" s="3">
        <v>251973</v>
      </c>
      <c r="G497" s="3" t="s">
        <v>13</v>
      </c>
      <c r="H497" s="3" t="s">
        <v>19</v>
      </c>
      <c r="I497" s="3">
        <v>635</v>
      </c>
      <c r="J497" s="5" t="s">
        <v>32</v>
      </c>
      <c r="K497" s="3" t="str">
        <f t="shared" si="7"/>
        <v>Review</v>
      </c>
    </row>
    <row r="498" spans="1:11" x14ac:dyDescent="0.35">
      <c r="A498" s="4">
        <v>497</v>
      </c>
      <c r="B498" s="3" t="s">
        <v>520</v>
      </c>
      <c r="C498" s="3" t="s">
        <v>11</v>
      </c>
      <c r="D498" s="3" t="s">
        <v>18</v>
      </c>
      <c r="E498" s="3">
        <v>52747</v>
      </c>
      <c r="F498" s="3">
        <v>373830</v>
      </c>
      <c r="G498" s="3" t="s">
        <v>13</v>
      </c>
      <c r="H498" s="3" t="s">
        <v>23</v>
      </c>
      <c r="I498" s="3">
        <v>879</v>
      </c>
      <c r="J498" s="5" t="s">
        <v>32</v>
      </c>
      <c r="K498" s="3" t="str">
        <f t="shared" si="7"/>
        <v>Eligible</v>
      </c>
    </row>
    <row r="499" spans="1:11" x14ac:dyDescent="0.35">
      <c r="A499" s="4">
        <v>498</v>
      </c>
      <c r="B499" s="3" t="s">
        <v>521</v>
      </c>
      <c r="C499" s="3" t="s">
        <v>11</v>
      </c>
      <c r="D499" s="3" t="s">
        <v>18</v>
      </c>
      <c r="E499" s="3">
        <v>110180</v>
      </c>
      <c r="F499" s="3">
        <v>279618</v>
      </c>
      <c r="G499" s="3" t="s">
        <v>13</v>
      </c>
      <c r="H499" s="3" t="s">
        <v>14</v>
      </c>
      <c r="I499" s="3">
        <v>695</v>
      </c>
      <c r="J499" s="5" t="s">
        <v>15</v>
      </c>
      <c r="K499" s="3" t="str">
        <f t="shared" si="7"/>
        <v>Eligible</v>
      </c>
    </row>
    <row r="500" spans="1:11" x14ac:dyDescent="0.35">
      <c r="A500" s="4">
        <v>499</v>
      </c>
      <c r="B500" s="3" t="s">
        <v>522</v>
      </c>
      <c r="C500" s="3" t="s">
        <v>11</v>
      </c>
      <c r="D500" s="3" t="s">
        <v>18</v>
      </c>
      <c r="E500" s="3">
        <v>77454</v>
      </c>
      <c r="F500" s="3">
        <v>153938</v>
      </c>
      <c r="G500" s="3" t="s">
        <v>22</v>
      </c>
      <c r="H500" s="3" t="s">
        <v>14</v>
      </c>
      <c r="I500" s="3">
        <v>491</v>
      </c>
      <c r="J500" s="5" t="s">
        <v>15</v>
      </c>
      <c r="K500" s="3" t="str">
        <f t="shared" si="7"/>
        <v>Review</v>
      </c>
    </row>
    <row r="501" spans="1:11" x14ac:dyDescent="0.35">
      <c r="A501" s="9">
        <v>500</v>
      </c>
      <c r="B501" s="10" t="s">
        <v>523</v>
      </c>
      <c r="C501" s="10" t="s">
        <v>17</v>
      </c>
      <c r="D501" s="10" t="s">
        <v>12</v>
      </c>
      <c r="E501" s="10">
        <v>77587</v>
      </c>
      <c r="F501" s="10">
        <v>330953</v>
      </c>
      <c r="G501" s="10" t="s">
        <v>13</v>
      </c>
      <c r="H501" s="10" t="s">
        <v>14</v>
      </c>
      <c r="I501" s="10">
        <v>601</v>
      </c>
      <c r="J501" s="11" t="s">
        <v>24</v>
      </c>
      <c r="K501" s="10" t="str">
        <f t="shared" si="7"/>
        <v>Eligible</v>
      </c>
    </row>
  </sheetData>
  <conditionalFormatting sqref="K1:K501">
    <cfRule type="containsText" dxfId="55" priority="3" operator="containsText" text="Audrey Russell">
      <formula>NOT(ISERROR(SEARCH("Audrey Russell",K1)))</formula>
    </cfRule>
    <cfRule type="containsText" dxfId="54" priority="4" operator="containsText" text="Patricia Nielsen">
      <formula>NOT(ISERROR(SEARCH("Patricia Nielsen",K1)))</formula>
    </cfRule>
    <cfRule type="containsText" dxfId="53" priority="5" operator="containsText" text="Patricia Nielsen">
      <formula>NOT(ISERROR(SEARCH("Patricia Nielsen",K1)))</formula>
    </cfRule>
    <cfRule type="containsText" dxfId="52" priority="6" operator="containsText" text="Audrey Russell">
      <formula>NOT(ISERROR(SEARCH("Audrey Russell",K1)))</formula>
    </cfRule>
    <cfRule type="containsText" dxfId="51" priority="7" operator="containsText" text="Dr. Luis Adams">
      <formula>NOT(ISERROR(SEARCH("Dr. Luis Adams",K1)))</formula>
    </cfRule>
    <cfRule type="containsText" dxfId="50" priority="8" operator="containsText" text="Mrs. Molly Jones MD">
      <formula>NOT(ISERROR(SEARCH("Mrs. Molly Jones MD",K1)))</formula>
    </cfRule>
  </conditionalFormatting>
  <conditionalFormatting sqref="K1:K1048576">
    <cfRule type="containsText" dxfId="41" priority="2" operator="containsText" text="Eligible">
      <formula>NOT(ISERROR(SEARCH("Eligible",K1)))</formula>
    </cfRule>
    <cfRule type="containsText" dxfId="42" priority="1" operator="containsText" text="Review">
      <formula>NOT(ISERROR(SEARCH("Review",K1)))</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42C40-8E23-48A8-A04B-5D01DE5F6EE2}">
  <dimension ref="A1:K501"/>
  <sheetViews>
    <sheetView tabSelected="1" workbookViewId="0">
      <selection activeCell="H22" sqref="H22"/>
    </sheetView>
  </sheetViews>
  <sheetFormatPr defaultColWidth="19" defaultRowHeight="14.5" x14ac:dyDescent="0.35"/>
  <sheetData>
    <row r="1" spans="1:11" x14ac:dyDescent="0.35">
      <c r="A1" s="6" t="s">
        <v>0</v>
      </c>
      <c r="B1" s="7" t="s">
        <v>1</v>
      </c>
      <c r="C1" s="7" t="s">
        <v>2</v>
      </c>
      <c r="D1" s="7" t="s">
        <v>3</v>
      </c>
      <c r="E1" s="7" t="s">
        <v>4</v>
      </c>
      <c r="F1" s="7" t="s">
        <v>5</v>
      </c>
      <c r="G1" s="7" t="s">
        <v>6</v>
      </c>
      <c r="H1" s="7" t="s">
        <v>7</v>
      </c>
      <c r="I1" s="7" t="s">
        <v>8</v>
      </c>
      <c r="J1" s="8" t="s">
        <v>9</v>
      </c>
      <c r="K1" s="7" t="s">
        <v>539</v>
      </c>
    </row>
    <row r="2" spans="1:11" x14ac:dyDescent="0.35">
      <c r="A2" s="4">
        <v>1</v>
      </c>
      <c r="B2" s="3" t="s">
        <v>10</v>
      </c>
      <c r="C2" s="3" t="s">
        <v>11</v>
      </c>
      <c r="D2" s="3" t="s">
        <v>12</v>
      </c>
      <c r="E2" s="3">
        <v>88372</v>
      </c>
      <c r="F2" s="3">
        <v>330961</v>
      </c>
      <c r="G2" s="3" t="s">
        <v>13</v>
      </c>
      <c r="H2" s="3" t="s">
        <v>14</v>
      </c>
      <c r="I2" s="3">
        <v>744</v>
      </c>
      <c r="J2" s="5" t="s">
        <v>15</v>
      </c>
      <c r="K2" s="12" t="str">
        <f t="shared" ref="K2:K65" si="0">IF(E2&gt;80000,"High Income",IF(E2&gt;=50000,"Medium Income","Low Income"))</f>
        <v>High Income</v>
      </c>
    </row>
    <row r="3" spans="1:11" x14ac:dyDescent="0.35">
      <c r="A3" s="4">
        <v>2</v>
      </c>
      <c r="B3" s="3" t="s">
        <v>16</v>
      </c>
      <c r="C3" s="3" t="s">
        <v>17</v>
      </c>
      <c r="D3" s="3" t="s">
        <v>18</v>
      </c>
      <c r="E3" s="3">
        <v>119257</v>
      </c>
      <c r="F3" s="3">
        <v>262727</v>
      </c>
      <c r="G3" s="3" t="s">
        <v>13</v>
      </c>
      <c r="H3" s="3" t="s">
        <v>19</v>
      </c>
      <c r="I3" s="3">
        <v>642</v>
      </c>
      <c r="J3" s="5" t="s">
        <v>15</v>
      </c>
      <c r="K3" s="3" t="str">
        <f t="shared" si="0"/>
        <v>High Income</v>
      </c>
    </row>
    <row r="4" spans="1:11" x14ac:dyDescent="0.35">
      <c r="A4" s="4">
        <v>3</v>
      </c>
      <c r="B4" s="3" t="s">
        <v>20</v>
      </c>
      <c r="C4" s="3" t="s">
        <v>17</v>
      </c>
      <c r="D4" s="3" t="s">
        <v>21</v>
      </c>
      <c r="E4" s="3">
        <v>81217</v>
      </c>
      <c r="F4" s="3">
        <v>472394</v>
      </c>
      <c r="G4" s="3" t="s">
        <v>22</v>
      </c>
      <c r="H4" s="3" t="s">
        <v>23</v>
      </c>
      <c r="I4" s="3">
        <v>482</v>
      </c>
      <c r="J4" s="5" t="s">
        <v>24</v>
      </c>
      <c r="K4" s="3" t="str">
        <f t="shared" si="0"/>
        <v>High Income</v>
      </c>
    </row>
    <row r="5" spans="1:11" x14ac:dyDescent="0.35">
      <c r="A5" s="4">
        <v>4</v>
      </c>
      <c r="B5" s="3" t="s">
        <v>25</v>
      </c>
      <c r="C5" s="3" t="s">
        <v>11</v>
      </c>
      <c r="D5" s="3" t="s">
        <v>12</v>
      </c>
      <c r="E5" s="3">
        <v>117486</v>
      </c>
      <c r="F5" s="3">
        <v>264501</v>
      </c>
      <c r="G5" s="3" t="s">
        <v>13</v>
      </c>
      <c r="H5" s="3" t="s">
        <v>26</v>
      </c>
      <c r="I5" s="3">
        <v>306</v>
      </c>
      <c r="J5" s="5" t="s">
        <v>15</v>
      </c>
      <c r="K5" s="3" t="str">
        <f t="shared" si="0"/>
        <v>High Income</v>
      </c>
    </row>
    <row r="6" spans="1:11" x14ac:dyDescent="0.35">
      <c r="A6" s="4">
        <v>5</v>
      </c>
      <c r="B6" s="3" t="s">
        <v>27</v>
      </c>
      <c r="C6" s="3" t="s">
        <v>11</v>
      </c>
      <c r="D6" s="3" t="s">
        <v>12</v>
      </c>
      <c r="E6" s="3">
        <v>97590</v>
      </c>
      <c r="F6" s="3">
        <v>70297</v>
      </c>
      <c r="G6" s="3" t="s">
        <v>22</v>
      </c>
      <c r="H6" s="3" t="s">
        <v>14</v>
      </c>
      <c r="I6" s="3">
        <v>515</v>
      </c>
      <c r="J6" s="5" t="s">
        <v>15</v>
      </c>
      <c r="K6" s="3" t="str">
        <f t="shared" si="0"/>
        <v>High Income</v>
      </c>
    </row>
    <row r="7" spans="1:11" x14ac:dyDescent="0.35">
      <c r="A7" s="4">
        <v>6</v>
      </c>
      <c r="B7" s="3" t="s">
        <v>28</v>
      </c>
      <c r="C7" s="3" t="s">
        <v>11</v>
      </c>
      <c r="D7" s="3" t="s">
        <v>18</v>
      </c>
      <c r="E7" s="3">
        <v>61361</v>
      </c>
      <c r="F7" s="3">
        <v>445854</v>
      </c>
      <c r="G7" s="3" t="s">
        <v>22</v>
      </c>
      <c r="H7" s="3" t="s">
        <v>19</v>
      </c>
      <c r="I7" s="3">
        <v>602</v>
      </c>
      <c r="J7" s="5" t="s">
        <v>15</v>
      </c>
      <c r="K7" s="3" t="str">
        <f>IF(E7&gt;80000,"High Income",IF(E7&gt;=50000,"Medium Income","Low Income"))</f>
        <v>Medium Income</v>
      </c>
    </row>
    <row r="8" spans="1:11" x14ac:dyDescent="0.35">
      <c r="A8" s="4">
        <v>7</v>
      </c>
      <c r="B8" s="3" t="s">
        <v>29</v>
      </c>
      <c r="C8" s="3" t="s">
        <v>11</v>
      </c>
      <c r="D8" s="3" t="s">
        <v>18</v>
      </c>
      <c r="E8" s="3">
        <v>96742</v>
      </c>
      <c r="F8" s="3">
        <v>468230</v>
      </c>
      <c r="G8" s="3" t="s">
        <v>22</v>
      </c>
      <c r="H8" s="3" t="s">
        <v>26</v>
      </c>
      <c r="I8" s="3">
        <v>458</v>
      </c>
      <c r="J8" s="5" t="s">
        <v>15</v>
      </c>
      <c r="K8" s="3" t="str">
        <f t="shared" si="0"/>
        <v>High Income</v>
      </c>
    </row>
    <row r="9" spans="1:11" x14ac:dyDescent="0.35">
      <c r="A9" s="4">
        <v>8</v>
      </c>
      <c r="B9" s="3" t="s">
        <v>30</v>
      </c>
      <c r="C9" s="3" t="s">
        <v>17</v>
      </c>
      <c r="D9" s="3" t="s">
        <v>21</v>
      </c>
      <c r="E9" s="3">
        <v>63391</v>
      </c>
      <c r="F9" s="3">
        <v>178896</v>
      </c>
      <c r="G9" s="3" t="s">
        <v>13</v>
      </c>
      <c r="H9" s="3" t="s">
        <v>19</v>
      </c>
      <c r="I9" s="3">
        <v>444</v>
      </c>
      <c r="J9" s="5" t="s">
        <v>15</v>
      </c>
      <c r="K9" s="3" t="str">
        <f t="shared" si="0"/>
        <v>Medium Income</v>
      </c>
    </row>
    <row r="10" spans="1:11" x14ac:dyDescent="0.35">
      <c r="A10" s="4">
        <v>9</v>
      </c>
      <c r="B10" s="3" t="s">
        <v>31</v>
      </c>
      <c r="C10" s="3" t="s">
        <v>17</v>
      </c>
      <c r="D10" s="3" t="s">
        <v>12</v>
      </c>
      <c r="E10" s="3">
        <v>47429</v>
      </c>
      <c r="F10" s="3">
        <v>86835</v>
      </c>
      <c r="G10" s="3" t="s">
        <v>13</v>
      </c>
      <c r="H10" s="3" t="s">
        <v>23</v>
      </c>
      <c r="I10" s="3">
        <v>859</v>
      </c>
      <c r="J10" s="5" t="s">
        <v>32</v>
      </c>
      <c r="K10" s="3" t="str">
        <f t="shared" si="0"/>
        <v>Low Income</v>
      </c>
    </row>
    <row r="11" spans="1:11" x14ac:dyDescent="0.35">
      <c r="A11" s="4">
        <v>10</v>
      </c>
      <c r="B11" s="3" t="s">
        <v>33</v>
      </c>
      <c r="C11" s="3" t="s">
        <v>11</v>
      </c>
      <c r="D11" s="3" t="s">
        <v>21</v>
      </c>
      <c r="E11" s="3">
        <v>44420</v>
      </c>
      <c r="F11" s="3">
        <v>167749</v>
      </c>
      <c r="G11" s="3" t="s">
        <v>22</v>
      </c>
      <c r="H11" s="3" t="s">
        <v>23</v>
      </c>
      <c r="I11" s="3">
        <v>450</v>
      </c>
      <c r="J11" s="5" t="s">
        <v>32</v>
      </c>
      <c r="K11" s="3" t="str">
        <f t="shared" si="0"/>
        <v>Low Income</v>
      </c>
    </row>
    <row r="12" spans="1:11" x14ac:dyDescent="0.35">
      <c r="A12" s="4">
        <v>11</v>
      </c>
      <c r="B12" s="3" t="s">
        <v>34</v>
      </c>
      <c r="C12" s="3" t="s">
        <v>11</v>
      </c>
      <c r="D12" s="3" t="s">
        <v>18</v>
      </c>
      <c r="E12" s="3">
        <v>66843</v>
      </c>
      <c r="F12" s="3">
        <v>204617</v>
      </c>
      <c r="G12" s="3" t="s">
        <v>13</v>
      </c>
      <c r="H12" s="3" t="s">
        <v>14</v>
      </c>
      <c r="I12" s="3">
        <v>552</v>
      </c>
      <c r="J12" s="5" t="s">
        <v>24</v>
      </c>
      <c r="K12" s="3" t="str">
        <f t="shared" si="0"/>
        <v>Medium Income</v>
      </c>
    </row>
    <row r="13" spans="1:11" x14ac:dyDescent="0.35">
      <c r="A13" s="4">
        <v>12</v>
      </c>
      <c r="B13" s="3" t="s">
        <v>35</v>
      </c>
      <c r="C13" s="3" t="s">
        <v>11</v>
      </c>
      <c r="D13" s="3" t="s">
        <v>18</v>
      </c>
      <c r="E13" s="3">
        <v>93528</v>
      </c>
      <c r="F13" s="3">
        <v>317139</v>
      </c>
      <c r="G13" s="3" t="s">
        <v>13</v>
      </c>
      <c r="H13" s="3" t="s">
        <v>26</v>
      </c>
      <c r="I13" s="3">
        <v>818</v>
      </c>
      <c r="J13" s="5" t="s">
        <v>32</v>
      </c>
      <c r="K13" s="3" t="str">
        <f t="shared" si="0"/>
        <v>High Income</v>
      </c>
    </row>
    <row r="14" spans="1:11" x14ac:dyDescent="0.35">
      <c r="A14" s="4">
        <v>13</v>
      </c>
      <c r="B14" s="3" t="s">
        <v>36</v>
      </c>
      <c r="C14" s="3" t="s">
        <v>17</v>
      </c>
      <c r="D14" s="3" t="s">
        <v>18</v>
      </c>
      <c r="E14" s="3">
        <v>42867</v>
      </c>
      <c r="F14" s="3">
        <v>197688</v>
      </c>
      <c r="G14" s="3" t="s">
        <v>22</v>
      </c>
      <c r="H14" s="3" t="s">
        <v>14</v>
      </c>
      <c r="I14" s="3">
        <v>768</v>
      </c>
      <c r="J14" s="5" t="s">
        <v>15</v>
      </c>
      <c r="K14" s="3" t="str">
        <f t="shared" si="0"/>
        <v>Low Income</v>
      </c>
    </row>
    <row r="15" spans="1:11" x14ac:dyDescent="0.35">
      <c r="A15" s="4">
        <v>14</v>
      </c>
      <c r="B15" s="3" t="s">
        <v>37</v>
      </c>
      <c r="C15" s="3" t="s">
        <v>11</v>
      </c>
      <c r="D15" s="3" t="s">
        <v>12</v>
      </c>
      <c r="E15" s="3">
        <v>49709</v>
      </c>
      <c r="F15" s="3">
        <v>198807</v>
      </c>
      <c r="G15" s="3" t="s">
        <v>22</v>
      </c>
      <c r="H15" s="3" t="s">
        <v>14</v>
      </c>
      <c r="I15" s="3">
        <v>651</v>
      </c>
      <c r="J15" s="5" t="s">
        <v>15</v>
      </c>
      <c r="K15" s="3" t="str">
        <f t="shared" si="0"/>
        <v>Low Income</v>
      </c>
    </row>
    <row r="16" spans="1:11" x14ac:dyDescent="0.35">
      <c r="A16" s="4">
        <v>15</v>
      </c>
      <c r="B16" s="3" t="s">
        <v>38</v>
      </c>
      <c r="C16" s="3" t="s">
        <v>11</v>
      </c>
      <c r="D16" s="3" t="s">
        <v>12</v>
      </c>
      <c r="E16" s="3">
        <v>106712</v>
      </c>
      <c r="F16" s="3">
        <v>43457</v>
      </c>
      <c r="G16" s="3" t="s">
        <v>22</v>
      </c>
      <c r="H16" s="3" t="s">
        <v>19</v>
      </c>
      <c r="I16" s="3">
        <v>640</v>
      </c>
      <c r="J16" s="5" t="s">
        <v>24</v>
      </c>
      <c r="K16" s="3" t="str">
        <f t="shared" si="0"/>
        <v>High Income</v>
      </c>
    </row>
    <row r="17" spans="1:11" x14ac:dyDescent="0.35">
      <c r="A17" s="4">
        <v>16</v>
      </c>
      <c r="B17" s="3" t="s">
        <v>39</v>
      </c>
      <c r="C17" s="3" t="s">
        <v>17</v>
      </c>
      <c r="D17" s="3" t="s">
        <v>12</v>
      </c>
      <c r="E17" s="3">
        <v>76673</v>
      </c>
      <c r="F17" s="3">
        <v>303281</v>
      </c>
      <c r="G17" s="3" t="s">
        <v>13</v>
      </c>
      <c r="H17" s="3" t="s">
        <v>14</v>
      </c>
      <c r="I17" s="3">
        <v>473</v>
      </c>
      <c r="J17" s="5" t="s">
        <v>24</v>
      </c>
      <c r="K17" s="3" t="str">
        <f t="shared" si="0"/>
        <v>Medium Income</v>
      </c>
    </row>
    <row r="18" spans="1:11" x14ac:dyDescent="0.35">
      <c r="A18" s="4">
        <v>17</v>
      </c>
      <c r="B18" s="3" t="s">
        <v>40</v>
      </c>
      <c r="C18" s="3" t="s">
        <v>11</v>
      </c>
      <c r="D18" s="3" t="s">
        <v>12</v>
      </c>
      <c r="E18" s="3">
        <v>110192</v>
      </c>
      <c r="F18" s="3">
        <v>471520</v>
      </c>
      <c r="G18" s="3" t="s">
        <v>22</v>
      </c>
      <c r="H18" s="3" t="s">
        <v>23</v>
      </c>
      <c r="I18" s="3">
        <v>709</v>
      </c>
      <c r="J18" s="5" t="s">
        <v>32</v>
      </c>
      <c r="K18" s="3" t="str">
        <f t="shared" si="0"/>
        <v>High Income</v>
      </c>
    </row>
    <row r="19" spans="1:11" x14ac:dyDescent="0.35">
      <c r="A19" s="4">
        <v>18</v>
      </c>
      <c r="B19" s="3" t="s">
        <v>41</v>
      </c>
      <c r="C19" s="3" t="s">
        <v>11</v>
      </c>
      <c r="D19" s="3" t="s">
        <v>21</v>
      </c>
      <c r="E19" s="3">
        <v>45357</v>
      </c>
      <c r="F19" s="3">
        <v>274600</v>
      </c>
      <c r="G19" s="3" t="s">
        <v>22</v>
      </c>
      <c r="H19" s="3" t="s">
        <v>26</v>
      </c>
      <c r="I19" s="3">
        <v>740</v>
      </c>
      <c r="J19" s="5" t="s">
        <v>24</v>
      </c>
      <c r="K19" s="3" t="str">
        <f t="shared" si="0"/>
        <v>Low Income</v>
      </c>
    </row>
    <row r="20" spans="1:11" x14ac:dyDescent="0.35">
      <c r="A20" s="4">
        <v>19</v>
      </c>
      <c r="B20" s="3" t="s">
        <v>42</v>
      </c>
      <c r="C20" s="3" t="s">
        <v>17</v>
      </c>
      <c r="D20" s="3" t="s">
        <v>18</v>
      </c>
      <c r="E20" s="3">
        <v>47249</v>
      </c>
      <c r="F20" s="3">
        <v>439148</v>
      </c>
      <c r="G20" s="3" t="s">
        <v>13</v>
      </c>
      <c r="H20" s="3" t="s">
        <v>26</v>
      </c>
      <c r="I20" s="3">
        <v>463</v>
      </c>
      <c r="J20" s="5" t="s">
        <v>24</v>
      </c>
      <c r="K20" s="3" t="str">
        <f t="shared" si="0"/>
        <v>Low Income</v>
      </c>
    </row>
    <row r="21" spans="1:11" x14ac:dyDescent="0.35">
      <c r="A21" s="4">
        <v>20</v>
      </c>
      <c r="B21" s="3" t="s">
        <v>43</v>
      </c>
      <c r="C21" s="3" t="s">
        <v>17</v>
      </c>
      <c r="D21" s="3" t="s">
        <v>18</v>
      </c>
      <c r="E21" s="3">
        <v>21385</v>
      </c>
      <c r="F21" s="3">
        <v>131933</v>
      </c>
      <c r="G21" s="3" t="s">
        <v>22</v>
      </c>
      <c r="H21" s="3" t="s">
        <v>19</v>
      </c>
      <c r="I21" s="3">
        <v>438</v>
      </c>
      <c r="J21" s="5" t="s">
        <v>24</v>
      </c>
      <c r="K21" s="3" t="str">
        <f t="shared" si="0"/>
        <v>Low Income</v>
      </c>
    </row>
    <row r="22" spans="1:11" x14ac:dyDescent="0.35">
      <c r="A22" s="4">
        <v>21</v>
      </c>
      <c r="B22" s="3" t="s">
        <v>44</v>
      </c>
      <c r="C22" s="3" t="s">
        <v>17</v>
      </c>
      <c r="D22" s="3" t="s">
        <v>12</v>
      </c>
      <c r="E22" s="3">
        <v>101753</v>
      </c>
      <c r="F22" s="3">
        <v>239191</v>
      </c>
      <c r="G22" s="3" t="s">
        <v>22</v>
      </c>
      <c r="H22" s="3" t="s">
        <v>26</v>
      </c>
      <c r="I22" s="3">
        <v>802</v>
      </c>
      <c r="J22" s="5" t="s">
        <v>15</v>
      </c>
      <c r="K22" s="3" t="str">
        <f t="shared" si="0"/>
        <v>High Income</v>
      </c>
    </row>
    <row r="23" spans="1:11" x14ac:dyDescent="0.35">
      <c r="A23" s="4">
        <v>22</v>
      </c>
      <c r="B23" s="3" t="s">
        <v>45</v>
      </c>
      <c r="C23" s="3" t="s">
        <v>11</v>
      </c>
      <c r="D23" s="3" t="s">
        <v>21</v>
      </c>
      <c r="E23" s="3">
        <v>105371</v>
      </c>
      <c r="F23" s="3">
        <v>162207</v>
      </c>
      <c r="G23" s="3" t="s">
        <v>13</v>
      </c>
      <c r="H23" s="3" t="s">
        <v>26</v>
      </c>
      <c r="I23" s="3">
        <v>543</v>
      </c>
      <c r="J23" s="5" t="s">
        <v>32</v>
      </c>
      <c r="K23" s="3" t="str">
        <f t="shared" si="0"/>
        <v>High Income</v>
      </c>
    </row>
    <row r="24" spans="1:11" x14ac:dyDescent="0.35">
      <c r="A24" s="4">
        <v>23</v>
      </c>
      <c r="B24" s="3" t="s">
        <v>46</v>
      </c>
      <c r="C24" s="3" t="s">
        <v>11</v>
      </c>
      <c r="D24" s="3" t="s">
        <v>12</v>
      </c>
      <c r="E24" s="3">
        <v>69527</v>
      </c>
      <c r="F24" s="3">
        <v>110559</v>
      </c>
      <c r="G24" s="3" t="s">
        <v>22</v>
      </c>
      <c r="H24" s="3" t="s">
        <v>14</v>
      </c>
      <c r="I24" s="3">
        <v>611</v>
      </c>
      <c r="J24" s="5" t="s">
        <v>15</v>
      </c>
      <c r="K24" s="3" t="str">
        <f t="shared" si="0"/>
        <v>Medium Income</v>
      </c>
    </row>
    <row r="25" spans="1:11" x14ac:dyDescent="0.35">
      <c r="A25" s="4">
        <v>24</v>
      </c>
      <c r="B25" s="3" t="s">
        <v>47</v>
      </c>
      <c r="C25" s="3" t="s">
        <v>17</v>
      </c>
      <c r="D25" s="3" t="s">
        <v>12</v>
      </c>
      <c r="E25" s="3">
        <v>48267</v>
      </c>
      <c r="F25" s="3">
        <v>233342</v>
      </c>
      <c r="G25" s="3" t="s">
        <v>22</v>
      </c>
      <c r="H25" s="3" t="s">
        <v>23</v>
      </c>
      <c r="I25" s="3">
        <v>836</v>
      </c>
      <c r="J25" s="5" t="s">
        <v>32</v>
      </c>
      <c r="K25" s="3" t="str">
        <f t="shared" si="0"/>
        <v>Low Income</v>
      </c>
    </row>
    <row r="26" spans="1:11" x14ac:dyDescent="0.35">
      <c r="A26" s="4">
        <v>25</v>
      </c>
      <c r="B26" s="3" t="s">
        <v>48</v>
      </c>
      <c r="C26" s="3" t="s">
        <v>17</v>
      </c>
      <c r="D26" s="3" t="s">
        <v>12</v>
      </c>
      <c r="E26" s="3">
        <v>79848</v>
      </c>
      <c r="F26" s="3">
        <v>245354</v>
      </c>
      <c r="G26" s="3" t="s">
        <v>13</v>
      </c>
      <c r="H26" s="3" t="s">
        <v>14</v>
      </c>
      <c r="I26" s="3">
        <v>435</v>
      </c>
      <c r="J26" s="5" t="s">
        <v>32</v>
      </c>
      <c r="K26" s="3" t="str">
        <f t="shared" si="0"/>
        <v>Medium Income</v>
      </c>
    </row>
    <row r="27" spans="1:11" x14ac:dyDescent="0.35">
      <c r="A27" s="4">
        <v>26</v>
      </c>
      <c r="B27" s="3" t="s">
        <v>49</v>
      </c>
      <c r="C27" s="3" t="s">
        <v>17</v>
      </c>
      <c r="D27" s="3" t="s">
        <v>12</v>
      </c>
      <c r="E27" s="3">
        <v>60201</v>
      </c>
      <c r="F27" s="3">
        <v>262823</v>
      </c>
      <c r="G27" s="3" t="s">
        <v>22</v>
      </c>
      <c r="H27" s="3" t="s">
        <v>26</v>
      </c>
      <c r="I27" s="3">
        <v>716</v>
      </c>
      <c r="J27" s="5" t="s">
        <v>32</v>
      </c>
      <c r="K27" s="3" t="str">
        <f t="shared" si="0"/>
        <v>Medium Income</v>
      </c>
    </row>
    <row r="28" spans="1:11" x14ac:dyDescent="0.35">
      <c r="A28" s="4">
        <v>27</v>
      </c>
      <c r="B28" s="3" t="s">
        <v>50</v>
      </c>
      <c r="C28" s="3" t="s">
        <v>11</v>
      </c>
      <c r="D28" s="3" t="s">
        <v>21</v>
      </c>
      <c r="E28" s="3">
        <v>33503</v>
      </c>
      <c r="F28" s="3">
        <v>333755</v>
      </c>
      <c r="G28" s="3" t="s">
        <v>22</v>
      </c>
      <c r="H28" s="3" t="s">
        <v>14</v>
      </c>
      <c r="I28" s="3">
        <v>301</v>
      </c>
      <c r="J28" s="5" t="s">
        <v>24</v>
      </c>
      <c r="K28" s="3" t="str">
        <f t="shared" si="0"/>
        <v>Low Income</v>
      </c>
    </row>
    <row r="29" spans="1:11" x14ac:dyDescent="0.35">
      <c r="A29" s="4">
        <v>28</v>
      </c>
      <c r="B29" s="3" t="s">
        <v>51</v>
      </c>
      <c r="C29" s="3" t="s">
        <v>11</v>
      </c>
      <c r="D29" s="3" t="s">
        <v>18</v>
      </c>
      <c r="E29" s="3">
        <v>104701</v>
      </c>
      <c r="F29" s="3">
        <v>473056</v>
      </c>
      <c r="G29" s="3" t="s">
        <v>22</v>
      </c>
      <c r="H29" s="3" t="s">
        <v>26</v>
      </c>
      <c r="I29" s="3">
        <v>437</v>
      </c>
      <c r="J29" s="5" t="s">
        <v>32</v>
      </c>
      <c r="K29" s="3" t="str">
        <f t="shared" si="0"/>
        <v>High Income</v>
      </c>
    </row>
    <row r="30" spans="1:11" x14ac:dyDescent="0.35">
      <c r="A30" s="4">
        <v>29</v>
      </c>
      <c r="B30" s="3" t="s">
        <v>52</v>
      </c>
      <c r="C30" s="3" t="s">
        <v>17</v>
      </c>
      <c r="D30" s="3" t="s">
        <v>12</v>
      </c>
      <c r="E30" s="3">
        <v>32615</v>
      </c>
      <c r="F30" s="3">
        <v>11667</v>
      </c>
      <c r="G30" s="3" t="s">
        <v>13</v>
      </c>
      <c r="H30" s="3" t="s">
        <v>26</v>
      </c>
      <c r="I30" s="3">
        <v>361</v>
      </c>
      <c r="J30" s="5" t="s">
        <v>32</v>
      </c>
      <c r="K30" s="3" t="str">
        <f t="shared" si="0"/>
        <v>Low Income</v>
      </c>
    </row>
    <row r="31" spans="1:11" x14ac:dyDescent="0.35">
      <c r="A31" s="4">
        <v>30</v>
      </c>
      <c r="B31" s="3" t="s">
        <v>53</v>
      </c>
      <c r="C31" s="3" t="s">
        <v>11</v>
      </c>
      <c r="D31" s="3" t="s">
        <v>21</v>
      </c>
      <c r="E31" s="3">
        <v>76888</v>
      </c>
      <c r="F31" s="3">
        <v>197307</v>
      </c>
      <c r="G31" s="3" t="s">
        <v>22</v>
      </c>
      <c r="H31" s="3" t="s">
        <v>26</v>
      </c>
      <c r="I31" s="3">
        <v>658</v>
      </c>
      <c r="J31" s="5" t="s">
        <v>24</v>
      </c>
      <c r="K31" s="3" t="str">
        <f t="shared" si="0"/>
        <v>Medium Income</v>
      </c>
    </row>
    <row r="32" spans="1:11" x14ac:dyDescent="0.35">
      <c r="A32" s="4">
        <v>31</v>
      </c>
      <c r="B32" s="3" t="s">
        <v>54</v>
      </c>
      <c r="C32" s="3" t="s">
        <v>17</v>
      </c>
      <c r="D32" s="3" t="s">
        <v>21</v>
      </c>
      <c r="E32" s="3">
        <v>76796</v>
      </c>
      <c r="F32" s="3">
        <v>137508</v>
      </c>
      <c r="G32" s="3" t="s">
        <v>13</v>
      </c>
      <c r="H32" s="3" t="s">
        <v>14</v>
      </c>
      <c r="I32" s="3">
        <v>846</v>
      </c>
      <c r="J32" s="5" t="s">
        <v>24</v>
      </c>
      <c r="K32" s="3" t="str">
        <f t="shared" si="0"/>
        <v>Medium Income</v>
      </c>
    </row>
    <row r="33" spans="1:11" x14ac:dyDescent="0.35">
      <c r="A33" s="4">
        <v>32</v>
      </c>
      <c r="B33" s="3" t="s">
        <v>55</v>
      </c>
      <c r="C33" s="3" t="s">
        <v>17</v>
      </c>
      <c r="D33" s="3" t="s">
        <v>12</v>
      </c>
      <c r="E33" s="3">
        <v>114070</v>
      </c>
      <c r="F33" s="3">
        <v>131899</v>
      </c>
      <c r="G33" s="3" t="s">
        <v>22</v>
      </c>
      <c r="H33" s="3" t="s">
        <v>23</v>
      </c>
      <c r="I33" s="3">
        <v>582</v>
      </c>
      <c r="J33" s="5" t="s">
        <v>15</v>
      </c>
      <c r="K33" s="3" t="str">
        <f t="shared" si="0"/>
        <v>High Income</v>
      </c>
    </row>
    <row r="34" spans="1:11" x14ac:dyDescent="0.35">
      <c r="A34" s="4">
        <v>33</v>
      </c>
      <c r="B34" s="3" t="s">
        <v>56</v>
      </c>
      <c r="C34" s="3" t="s">
        <v>17</v>
      </c>
      <c r="D34" s="3" t="s">
        <v>18</v>
      </c>
      <c r="E34" s="3">
        <v>94910</v>
      </c>
      <c r="F34" s="3">
        <v>477946</v>
      </c>
      <c r="G34" s="3" t="s">
        <v>13</v>
      </c>
      <c r="H34" s="3" t="s">
        <v>26</v>
      </c>
      <c r="I34" s="3">
        <v>586</v>
      </c>
      <c r="J34" s="5" t="s">
        <v>32</v>
      </c>
      <c r="K34" s="3" t="str">
        <f t="shared" si="0"/>
        <v>High Income</v>
      </c>
    </row>
    <row r="35" spans="1:11" x14ac:dyDescent="0.35">
      <c r="A35" s="4">
        <v>34</v>
      </c>
      <c r="B35" s="3" t="s">
        <v>57</v>
      </c>
      <c r="C35" s="3" t="s">
        <v>11</v>
      </c>
      <c r="D35" s="3" t="s">
        <v>12</v>
      </c>
      <c r="E35" s="3">
        <v>58213</v>
      </c>
      <c r="F35" s="3">
        <v>356278</v>
      </c>
      <c r="G35" s="3" t="s">
        <v>13</v>
      </c>
      <c r="H35" s="3" t="s">
        <v>23</v>
      </c>
      <c r="I35" s="3">
        <v>720</v>
      </c>
      <c r="J35" s="5" t="s">
        <v>32</v>
      </c>
      <c r="K35" s="3" t="str">
        <f t="shared" si="0"/>
        <v>Medium Income</v>
      </c>
    </row>
    <row r="36" spans="1:11" x14ac:dyDescent="0.35">
      <c r="A36" s="4">
        <v>35</v>
      </c>
      <c r="B36" s="3" t="s">
        <v>58</v>
      </c>
      <c r="C36" s="3" t="s">
        <v>11</v>
      </c>
      <c r="D36" s="3" t="s">
        <v>21</v>
      </c>
      <c r="E36" s="3">
        <v>113345</v>
      </c>
      <c r="F36" s="3">
        <v>481443</v>
      </c>
      <c r="G36" s="3" t="s">
        <v>13</v>
      </c>
      <c r="H36" s="3" t="s">
        <v>23</v>
      </c>
      <c r="I36" s="3">
        <v>770</v>
      </c>
      <c r="J36" s="5" t="s">
        <v>15</v>
      </c>
      <c r="K36" s="3" t="str">
        <f t="shared" si="0"/>
        <v>High Income</v>
      </c>
    </row>
    <row r="37" spans="1:11" x14ac:dyDescent="0.35">
      <c r="A37" s="4">
        <v>36</v>
      </c>
      <c r="B37" s="3" t="s">
        <v>59</v>
      </c>
      <c r="C37" s="3" t="s">
        <v>11</v>
      </c>
      <c r="D37" s="3" t="s">
        <v>21</v>
      </c>
      <c r="E37" s="3">
        <v>75488</v>
      </c>
      <c r="F37" s="3">
        <v>69564</v>
      </c>
      <c r="G37" s="3" t="s">
        <v>13</v>
      </c>
      <c r="H37" s="3" t="s">
        <v>14</v>
      </c>
      <c r="I37" s="3">
        <v>562</v>
      </c>
      <c r="J37" s="5" t="s">
        <v>24</v>
      </c>
      <c r="K37" s="3" t="str">
        <f t="shared" si="0"/>
        <v>Medium Income</v>
      </c>
    </row>
    <row r="38" spans="1:11" x14ac:dyDescent="0.35">
      <c r="A38" s="4">
        <v>37</v>
      </c>
      <c r="B38" s="3" t="s">
        <v>60</v>
      </c>
      <c r="C38" s="3" t="s">
        <v>17</v>
      </c>
      <c r="D38" s="3" t="s">
        <v>18</v>
      </c>
      <c r="E38" s="3">
        <v>29420</v>
      </c>
      <c r="F38" s="3">
        <v>486089</v>
      </c>
      <c r="G38" s="3" t="s">
        <v>13</v>
      </c>
      <c r="H38" s="3" t="s">
        <v>23</v>
      </c>
      <c r="I38" s="3">
        <v>408</v>
      </c>
      <c r="J38" s="5" t="s">
        <v>32</v>
      </c>
      <c r="K38" s="3" t="str">
        <f t="shared" si="0"/>
        <v>Low Income</v>
      </c>
    </row>
    <row r="39" spans="1:11" x14ac:dyDescent="0.35">
      <c r="A39" s="4">
        <v>38</v>
      </c>
      <c r="B39" s="3" t="s">
        <v>61</v>
      </c>
      <c r="C39" s="3" t="s">
        <v>17</v>
      </c>
      <c r="D39" s="3" t="s">
        <v>12</v>
      </c>
      <c r="E39" s="3">
        <v>53064</v>
      </c>
      <c r="F39" s="3">
        <v>445466</v>
      </c>
      <c r="G39" s="3" t="s">
        <v>13</v>
      </c>
      <c r="H39" s="3" t="s">
        <v>26</v>
      </c>
      <c r="I39" s="3">
        <v>715</v>
      </c>
      <c r="J39" s="5" t="s">
        <v>15</v>
      </c>
      <c r="K39" s="3" t="str">
        <f t="shared" si="0"/>
        <v>Medium Income</v>
      </c>
    </row>
    <row r="40" spans="1:11" x14ac:dyDescent="0.35">
      <c r="A40" s="4">
        <v>39</v>
      </c>
      <c r="B40" s="3" t="s">
        <v>62</v>
      </c>
      <c r="C40" s="3" t="s">
        <v>11</v>
      </c>
      <c r="D40" s="3" t="s">
        <v>21</v>
      </c>
      <c r="E40" s="3">
        <v>37061</v>
      </c>
      <c r="F40" s="3">
        <v>91427</v>
      </c>
      <c r="G40" s="3" t="s">
        <v>13</v>
      </c>
      <c r="H40" s="3" t="s">
        <v>23</v>
      </c>
      <c r="I40" s="3">
        <v>367</v>
      </c>
      <c r="J40" s="5" t="s">
        <v>32</v>
      </c>
      <c r="K40" s="3" t="str">
        <f t="shared" si="0"/>
        <v>Low Income</v>
      </c>
    </row>
    <row r="41" spans="1:11" x14ac:dyDescent="0.35">
      <c r="A41" s="4">
        <v>40</v>
      </c>
      <c r="B41" s="3" t="s">
        <v>63</v>
      </c>
      <c r="C41" s="3" t="s">
        <v>11</v>
      </c>
      <c r="D41" s="3" t="s">
        <v>21</v>
      </c>
      <c r="E41" s="3">
        <v>111728</v>
      </c>
      <c r="F41" s="3">
        <v>251615</v>
      </c>
      <c r="G41" s="3" t="s">
        <v>13</v>
      </c>
      <c r="H41" s="3" t="s">
        <v>14</v>
      </c>
      <c r="I41" s="3">
        <v>798</v>
      </c>
      <c r="J41" s="5" t="s">
        <v>24</v>
      </c>
      <c r="K41" s="3" t="str">
        <f t="shared" si="0"/>
        <v>High Income</v>
      </c>
    </row>
    <row r="42" spans="1:11" x14ac:dyDescent="0.35">
      <c r="A42" s="4">
        <v>41</v>
      </c>
      <c r="B42" s="3" t="s">
        <v>64</v>
      </c>
      <c r="C42" s="3" t="s">
        <v>11</v>
      </c>
      <c r="D42" s="3" t="s">
        <v>12</v>
      </c>
      <c r="E42" s="3">
        <v>89585</v>
      </c>
      <c r="F42" s="3">
        <v>428976</v>
      </c>
      <c r="G42" s="3" t="s">
        <v>22</v>
      </c>
      <c r="H42" s="3" t="s">
        <v>26</v>
      </c>
      <c r="I42" s="3">
        <v>572</v>
      </c>
      <c r="J42" s="5" t="s">
        <v>24</v>
      </c>
      <c r="K42" s="3" t="str">
        <f t="shared" si="0"/>
        <v>High Income</v>
      </c>
    </row>
    <row r="43" spans="1:11" x14ac:dyDescent="0.35">
      <c r="A43" s="4">
        <v>42</v>
      </c>
      <c r="B43" s="3" t="s">
        <v>65</v>
      </c>
      <c r="C43" s="3" t="s">
        <v>11</v>
      </c>
      <c r="D43" s="3" t="s">
        <v>12</v>
      </c>
      <c r="E43" s="3">
        <v>94545</v>
      </c>
      <c r="F43" s="3">
        <v>404063</v>
      </c>
      <c r="G43" s="3" t="s">
        <v>22</v>
      </c>
      <c r="H43" s="3" t="s">
        <v>19</v>
      </c>
      <c r="I43" s="3">
        <v>765</v>
      </c>
      <c r="J43" s="5" t="s">
        <v>24</v>
      </c>
      <c r="K43" s="3" t="str">
        <f t="shared" si="0"/>
        <v>High Income</v>
      </c>
    </row>
    <row r="44" spans="1:11" x14ac:dyDescent="0.35">
      <c r="A44" s="4">
        <v>43</v>
      </c>
      <c r="B44" s="3" t="s">
        <v>66</v>
      </c>
      <c r="C44" s="3" t="s">
        <v>11</v>
      </c>
      <c r="D44" s="3" t="s">
        <v>21</v>
      </c>
      <c r="E44" s="3">
        <v>40814</v>
      </c>
      <c r="F44" s="3">
        <v>245799</v>
      </c>
      <c r="G44" s="3" t="s">
        <v>13</v>
      </c>
      <c r="H44" s="3" t="s">
        <v>19</v>
      </c>
      <c r="I44" s="3">
        <v>411</v>
      </c>
      <c r="J44" s="5" t="s">
        <v>24</v>
      </c>
      <c r="K44" s="3" t="str">
        <f t="shared" si="0"/>
        <v>Low Income</v>
      </c>
    </row>
    <row r="45" spans="1:11" x14ac:dyDescent="0.35">
      <c r="A45" s="4">
        <v>44</v>
      </c>
      <c r="B45" s="3" t="s">
        <v>67</v>
      </c>
      <c r="C45" s="3" t="s">
        <v>17</v>
      </c>
      <c r="D45" s="3" t="s">
        <v>12</v>
      </c>
      <c r="E45" s="3">
        <v>109981</v>
      </c>
      <c r="F45" s="3">
        <v>50312</v>
      </c>
      <c r="G45" s="3" t="s">
        <v>22</v>
      </c>
      <c r="H45" s="3" t="s">
        <v>19</v>
      </c>
      <c r="I45" s="3">
        <v>536</v>
      </c>
      <c r="J45" s="5" t="s">
        <v>15</v>
      </c>
      <c r="K45" s="3" t="str">
        <f t="shared" si="0"/>
        <v>High Income</v>
      </c>
    </row>
    <row r="46" spans="1:11" x14ac:dyDescent="0.35">
      <c r="A46" s="4">
        <v>45</v>
      </c>
      <c r="B46" s="3" t="s">
        <v>68</v>
      </c>
      <c r="C46" s="3" t="s">
        <v>17</v>
      </c>
      <c r="D46" s="3" t="s">
        <v>12</v>
      </c>
      <c r="E46" s="3">
        <v>22460</v>
      </c>
      <c r="F46" s="3">
        <v>379279</v>
      </c>
      <c r="G46" s="3" t="s">
        <v>22</v>
      </c>
      <c r="H46" s="3" t="s">
        <v>14</v>
      </c>
      <c r="I46" s="3">
        <v>603</v>
      </c>
      <c r="J46" s="5" t="s">
        <v>24</v>
      </c>
      <c r="K46" s="3" t="str">
        <f t="shared" si="0"/>
        <v>Low Income</v>
      </c>
    </row>
    <row r="47" spans="1:11" x14ac:dyDescent="0.35">
      <c r="A47" s="4">
        <v>46</v>
      </c>
      <c r="B47" s="3" t="s">
        <v>69</v>
      </c>
      <c r="C47" s="3" t="s">
        <v>17</v>
      </c>
      <c r="D47" s="3" t="s">
        <v>21</v>
      </c>
      <c r="E47" s="3">
        <v>101563</v>
      </c>
      <c r="F47" s="3">
        <v>332211</v>
      </c>
      <c r="G47" s="3" t="s">
        <v>22</v>
      </c>
      <c r="H47" s="3" t="s">
        <v>19</v>
      </c>
      <c r="I47" s="3">
        <v>885</v>
      </c>
      <c r="J47" s="5" t="s">
        <v>24</v>
      </c>
      <c r="K47" s="3" t="str">
        <f t="shared" si="0"/>
        <v>High Income</v>
      </c>
    </row>
    <row r="48" spans="1:11" x14ac:dyDescent="0.35">
      <c r="A48" s="4">
        <v>47</v>
      </c>
      <c r="B48" s="3" t="s">
        <v>70</v>
      </c>
      <c r="C48" s="3" t="s">
        <v>17</v>
      </c>
      <c r="D48" s="3" t="s">
        <v>21</v>
      </c>
      <c r="E48" s="3">
        <v>96035</v>
      </c>
      <c r="F48" s="3">
        <v>483226</v>
      </c>
      <c r="G48" s="3" t="s">
        <v>22</v>
      </c>
      <c r="H48" s="3" t="s">
        <v>23</v>
      </c>
      <c r="I48" s="3">
        <v>899</v>
      </c>
      <c r="J48" s="5" t="s">
        <v>32</v>
      </c>
      <c r="K48" s="3" t="str">
        <f t="shared" si="0"/>
        <v>High Income</v>
      </c>
    </row>
    <row r="49" spans="1:11" x14ac:dyDescent="0.35">
      <c r="A49" s="4">
        <v>48</v>
      </c>
      <c r="B49" s="3" t="s">
        <v>71</v>
      </c>
      <c r="C49" s="3" t="s">
        <v>11</v>
      </c>
      <c r="D49" s="3" t="s">
        <v>12</v>
      </c>
      <c r="E49" s="3">
        <v>91349</v>
      </c>
      <c r="F49" s="3">
        <v>449991</v>
      </c>
      <c r="G49" s="3" t="s">
        <v>22</v>
      </c>
      <c r="H49" s="3" t="s">
        <v>26</v>
      </c>
      <c r="I49" s="3">
        <v>431</v>
      </c>
      <c r="J49" s="5" t="s">
        <v>32</v>
      </c>
      <c r="K49" s="3" t="str">
        <f t="shared" si="0"/>
        <v>High Income</v>
      </c>
    </row>
    <row r="50" spans="1:11" x14ac:dyDescent="0.35">
      <c r="A50" s="4">
        <v>49</v>
      </c>
      <c r="B50" s="3" t="s">
        <v>72</v>
      </c>
      <c r="C50" s="3" t="s">
        <v>11</v>
      </c>
      <c r="D50" s="3" t="s">
        <v>18</v>
      </c>
      <c r="E50" s="3">
        <v>69915</v>
      </c>
      <c r="F50" s="3">
        <v>404383</v>
      </c>
      <c r="G50" s="3" t="s">
        <v>22</v>
      </c>
      <c r="H50" s="3" t="s">
        <v>19</v>
      </c>
      <c r="I50" s="3">
        <v>680</v>
      </c>
      <c r="J50" s="5" t="s">
        <v>32</v>
      </c>
      <c r="K50" s="3" t="str">
        <f t="shared" si="0"/>
        <v>Medium Income</v>
      </c>
    </row>
    <row r="51" spans="1:11" x14ac:dyDescent="0.35">
      <c r="A51" s="4">
        <v>50</v>
      </c>
      <c r="B51" s="3" t="s">
        <v>73</v>
      </c>
      <c r="C51" s="3" t="s">
        <v>11</v>
      </c>
      <c r="D51" s="3" t="s">
        <v>18</v>
      </c>
      <c r="E51" s="3">
        <v>23768</v>
      </c>
      <c r="F51" s="3">
        <v>354734</v>
      </c>
      <c r="G51" s="3" t="s">
        <v>13</v>
      </c>
      <c r="H51" s="3" t="s">
        <v>26</v>
      </c>
      <c r="I51" s="3">
        <v>666</v>
      </c>
      <c r="J51" s="5" t="s">
        <v>32</v>
      </c>
      <c r="K51" s="3" t="str">
        <f t="shared" si="0"/>
        <v>Low Income</v>
      </c>
    </row>
    <row r="52" spans="1:11" x14ac:dyDescent="0.35">
      <c r="A52" s="4">
        <v>51</v>
      </c>
      <c r="B52" s="3" t="s">
        <v>74</v>
      </c>
      <c r="C52" s="3" t="s">
        <v>11</v>
      </c>
      <c r="D52" s="3" t="s">
        <v>12</v>
      </c>
      <c r="E52" s="3">
        <v>36370</v>
      </c>
      <c r="F52" s="3">
        <v>492070</v>
      </c>
      <c r="G52" s="3" t="s">
        <v>13</v>
      </c>
      <c r="H52" s="3" t="s">
        <v>23</v>
      </c>
      <c r="I52" s="3">
        <v>681</v>
      </c>
      <c r="J52" s="5" t="s">
        <v>15</v>
      </c>
      <c r="K52" s="3" t="str">
        <f t="shared" si="0"/>
        <v>Low Income</v>
      </c>
    </row>
    <row r="53" spans="1:11" x14ac:dyDescent="0.35">
      <c r="A53" s="4">
        <v>52</v>
      </c>
      <c r="B53" s="3" t="s">
        <v>75</v>
      </c>
      <c r="C53" s="3" t="s">
        <v>17</v>
      </c>
      <c r="D53" s="3" t="s">
        <v>21</v>
      </c>
      <c r="E53" s="3">
        <v>24849</v>
      </c>
      <c r="F53" s="3">
        <v>413563</v>
      </c>
      <c r="G53" s="3" t="s">
        <v>22</v>
      </c>
      <c r="H53" s="3" t="s">
        <v>14</v>
      </c>
      <c r="I53" s="3">
        <v>729</v>
      </c>
      <c r="J53" s="5" t="s">
        <v>15</v>
      </c>
      <c r="K53" s="3" t="str">
        <f t="shared" si="0"/>
        <v>Low Income</v>
      </c>
    </row>
    <row r="54" spans="1:11" x14ac:dyDescent="0.35">
      <c r="A54" s="4">
        <v>53</v>
      </c>
      <c r="B54" s="3" t="s">
        <v>76</v>
      </c>
      <c r="C54" s="3" t="s">
        <v>17</v>
      </c>
      <c r="D54" s="3" t="s">
        <v>21</v>
      </c>
      <c r="E54" s="3">
        <v>108297</v>
      </c>
      <c r="F54" s="3">
        <v>17991</v>
      </c>
      <c r="G54" s="3" t="s">
        <v>22</v>
      </c>
      <c r="H54" s="3" t="s">
        <v>23</v>
      </c>
      <c r="I54" s="3">
        <v>800</v>
      </c>
      <c r="J54" s="5" t="s">
        <v>15</v>
      </c>
      <c r="K54" s="3" t="str">
        <f t="shared" si="0"/>
        <v>High Income</v>
      </c>
    </row>
    <row r="55" spans="1:11" x14ac:dyDescent="0.35">
      <c r="A55" s="4">
        <v>54</v>
      </c>
      <c r="B55" s="3" t="s">
        <v>77</v>
      </c>
      <c r="C55" s="3" t="s">
        <v>11</v>
      </c>
      <c r="D55" s="3" t="s">
        <v>18</v>
      </c>
      <c r="E55" s="3">
        <v>47804</v>
      </c>
      <c r="F55" s="3">
        <v>227530</v>
      </c>
      <c r="G55" s="3" t="s">
        <v>13</v>
      </c>
      <c r="H55" s="3" t="s">
        <v>14</v>
      </c>
      <c r="I55" s="3">
        <v>391</v>
      </c>
      <c r="J55" s="5" t="s">
        <v>15</v>
      </c>
      <c r="K55" s="3" t="str">
        <f t="shared" si="0"/>
        <v>Low Income</v>
      </c>
    </row>
    <row r="56" spans="1:11" x14ac:dyDescent="0.35">
      <c r="A56" s="4">
        <v>55</v>
      </c>
      <c r="B56" s="3" t="s">
        <v>78</v>
      </c>
      <c r="C56" s="3" t="s">
        <v>17</v>
      </c>
      <c r="D56" s="3" t="s">
        <v>18</v>
      </c>
      <c r="E56" s="3">
        <v>116244</v>
      </c>
      <c r="F56" s="3">
        <v>142701</v>
      </c>
      <c r="G56" s="3" t="s">
        <v>22</v>
      </c>
      <c r="H56" s="3" t="s">
        <v>19</v>
      </c>
      <c r="I56" s="3">
        <v>519</v>
      </c>
      <c r="J56" s="5" t="s">
        <v>15</v>
      </c>
      <c r="K56" s="3" t="str">
        <f t="shared" si="0"/>
        <v>High Income</v>
      </c>
    </row>
    <row r="57" spans="1:11" x14ac:dyDescent="0.35">
      <c r="A57" s="4">
        <v>56</v>
      </c>
      <c r="B57" s="3" t="s">
        <v>79</v>
      </c>
      <c r="C57" s="3" t="s">
        <v>17</v>
      </c>
      <c r="D57" s="3" t="s">
        <v>21</v>
      </c>
      <c r="E57" s="3">
        <v>59802</v>
      </c>
      <c r="F57" s="3">
        <v>203804</v>
      </c>
      <c r="G57" s="3" t="s">
        <v>22</v>
      </c>
      <c r="H57" s="3" t="s">
        <v>14</v>
      </c>
      <c r="I57" s="3">
        <v>413</v>
      </c>
      <c r="J57" s="5" t="s">
        <v>24</v>
      </c>
      <c r="K57" s="3" t="str">
        <f t="shared" si="0"/>
        <v>Medium Income</v>
      </c>
    </row>
    <row r="58" spans="1:11" x14ac:dyDescent="0.35">
      <c r="A58" s="4">
        <v>57</v>
      </c>
      <c r="B58" s="3" t="s">
        <v>80</v>
      </c>
      <c r="C58" s="3" t="s">
        <v>17</v>
      </c>
      <c r="D58" s="3" t="s">
        <v>18</v>
      </c>
      <c r="E58" s="3">
        <v>107161</v>
      </c>
      <c r="F58" s="3">
        <v>105235</v>
      </c>
      <c r="G58" s="3" t="s">
        <v>22</v>
      </c>
      <c r="H58" s="3" t="s">
        <v>19</v>
      </c>
      <c r="I58" s="3">
        <v>626</v>
      </c>
      <c r="J58" s="5" t="s">
        <v>24</v>
      </c>
      <c r="K58" s="3" t="str">
        <f t="shared" si="0"/>
        <v>High Income</v>
      </c>
    </row>
    <row r="59" spans="1:11" x14ac:dyDescent="0.35">
      <c r="A59" s="4">
        <v>58</v>
      </c>
      <c r="B59" s="3" t="s">
        <v>81</v>
      </c>
      <c r="C59" s="3" t="s">
        <v>11</v>
      </c>
      <c r="D59" s="3" t="s">
        <v>18</v>
      </c>
      <c r="E59" s="3">
        <v>95518</v>
      </c>
      <c r="F59" s="3">
        <v>221010</v>
      </c>
      <c r="G59" s="3" t="s">
        <v>22</v>
      </c>
      <c r="H59" s="3" t="s">
        <v>26</v>
      </c>
      <c r="I59" s="3">
        <v>532</v>
      </c>
      <c r="J59" s="5" t="s">
        <v>24</v>
      </c>
      <c r="K59" s="3" t="str">
        <f t="shared" si="0"/>
        <v>High Income</v>
      </c>
    </row>
    <row r="60" spans="1:11" x14ac:dyDescent="0.35">
      <c r="A60" s="4">
        <v>59</v>
      </c>
      <c r="B60" s="3" t="s">
        <v>82</v>
      </c>
      <c r="C60" s="3" t="s">
        <v>11</v>
      </c>
      <c r="D60" s="3" t="s">
        <v>18</v>
      </c>
      <c r="E60" s="3">
        <v>62457</v>
      </c>
      <c r="F60" s="3">
        <v>470446</v>
      </c>
      <c r="G60" s="3" t="s">
        <v>13</v>
      </c>
      <c r="H60" s="3" t="s">
        <v>26</v>
      </c>
      <c r="I60" s="3">
        <v>695</v>
      </c>
      <c r="J60" s="5" t="s">
        <v>24</v>
      </c>
      <c r="K60" s="3" t="str">
        <f t="shared" si="0"/>
        <v>Medium Income</v>
      </c>
    </row>
    <row r="61" spans="1:11" x14ac:dyDescent="0.35">
      <c r="A61" s="4">
        <v>60</v>
      </c>
      <c r="B61" s="3" t="s">
        <v>83</v>
      </c>
      <c r="C61" s="3" t="s">
        <v>11</v>
      </c>
      <c r="D61" s="3" t="s">
        <v>21</v>
      </c>
      <c r="E61" s="3">
        <v>72823</v>
      </c>
      <c r="F61" s="3">
        <v>272637</v>
      </c>
      <c r="G61" s="3" t="s">
        <v>13</v>
      </c>
      <c r="H61" s="3" t="s">
        <v>19</v>
      </c>
      <c r="I61" s="3">
        <v>503</v>
      </c>
      <c r="J61" s="5" t="s">
        <v>24</v>
      </c>
      <c r="K61" s="3" t="str">
        <f t="shared" si="0"/>
        <v>Medium Income</v>
      </c>
    </row>
    <row r="62" spans="1:11" x14ac:dyDescent="0.35">
      <c r="A62" s="4">
        <v>61</v>
      </c>
      <c r="B62" s="3" t="s">
        <v>84</v>
      </c>
      <c r="C62" s="3" t="s">
        <v>11</v>
      </c>
      <c r="D62" s="3" t="s">
        <v>21</v>
      </c>
      <c r="E62" s="3">
        <v>58047</v>
      </c>
      <c r="F62" s="3">
        <v>450660</v>
      </c>
      <c r="G62" s="3" t="s">
        <v>13</v>
      </c>
      <c r="H62" s="3" t="s">
        <v>19</v>
      </c>
      <c r="I62" s="3">
        <v>408</v>
      </c>
      <c r="J62" s="5" t="s">
        <v>15</v>
      </c>
      <c r="K62" s="3" t="str">
        <f t="shared" si="0"/>
        <v>Medium Income</v>
      </c>
    </row>
    <row r="63" spans="1:11" x14ac:dyDescent="0.35">
      <c r="A63" s="4">
        <v>62</v>
      </c>
      <c r="B63" s="3" t="s">
        <v>85</v>
      </c>
      <c r="C63" s="3" t="s">
        <v>11</v>
      </c>
      <c r="D63" s="3" t="s">
        <v>12</v>
      </c>
      <c r="E63" s="3">
        <v>119261</v>
      </c>
      <c r="F63" s="3">
        <v>150352</v>
      </c>
      <c r="G63" s="3" t="s">
        <v>13</v>
      </c>
      <c r="H63" s="3" t="s">
        <v>19</v>
      </c>
      <c r="I63" s="3">
        <v>315</v>
      </c>
      <c r="J63" s="5" t="s">
        <v>32</v>
      </c>
      <c r="K63" s="3" t="str">
        <f t="shared" si="0"/>
        <v>High Income</v>
      </c>
    </row>
    <row r="64" spans="1:11" x14ac:dyDescent="0.35">
      <c r="A64" s="4">
        <v>63</v>
      </c>
      <c r="B64" s="3" t="s">
        <v>86</v>
      </c>
      <c r="C64" s="3" t="s">
        <v>17</v>
      </c>
      <c r="D64" s="3" t="s">
        <v>21</v>
      </c>
      <c r="E64" s="3">
        <v>22827</v>
      </c>
      <c r="F64" s="3">
        <v>388459</v>
      </c>
      <c r="G64" s="3" t="s">
        <v>13</v>
      </c>
      <c r="H64" s="3" t="s">
        <v>23</v>
      </c>
      <c r="I64" s="3">
        <v>657</v>
      </c>
      <c r="J64" s="5" t="s">
        <v>15</v>
      </c>
      <c r="K64" s="3" t="str">
        <f t="shared" si="0"/>
        <v>Low Income</v>
      </c>
    </row>
    <row r="65" spans="1:11" x14ac:dyDescent="0.35">
      <c r="A65" s="4">
        <v>64</v>
      </c>
      <c r="B65" s="3" t="s">
        <v>87</v>
      </c>
      <c r="C65" s="3" t="s">
        <v>11</v>
      </c>
      <c r="D65" s="3" t="s">
        <v>12</v>
      </c>
      <c r="E65" s="3">
        <v>97801</v>
      </c>
      <c r="F65" s="3">
        <v>68583</v>
      </c>
      <c r="G65" s="3" t="s">
        <v>13</v>
      </c>
      <c r="H65" s="3" t="s">
        <v>26</v>
      </c>
      <c r="I65" s="3">
        <v>705</v>
      </c>
      <c r="J65" s="5" t="s">
        <v>15</v>
      </c>
      <c r="K65" s="3" t="str">
        <f t="shared" si="0"/>
        <v>High Income</v>
      </c>
    </row>
    <row r="66" spans="1:11" x14ac:dyDescent="0.35">
      <c r="A66" s="4">
        <v>65</v>
      </c>
      <c r="B66" s="3" t="s">
        <v>88</v>
      </c>
      <c r="C66" s="3" t="s">
        <v>17</v>
      </c>
      <c r="D66" s="3" t="s">
        <v>21</v>
      </c>
      <c r="E66" s="3">
        <v>40769</v>
      </c>
      <c r="F66" s="3">
        <v>121955</v>
      </c>
      <c r="G66" s="3" t="s">
        <v>22</v>
      </c>
      <c r="H66" s="3" t="s">
        <v>19</v>
      </c>
      <c r="I66" s="3">
        <v>515</v>
      </c>
      <c r="J66" s="5" t="s">
        <v>15</v>
      </c>
      <c r="K66" s="3" t="str">
        <f t="shared" ref="K66:K129" si="1">IF(E66&gt;80000,"High Income",IF(E66&gt;=50000,"Medium Income","Low Income"))</f>
        <v>Low Income</v>
      </c>
    </row>
    <row r="67" spans="1:11" x14ac:dyDescent="0.35">
      <c r="A67" s="4">
        <v>66</v>
      </c>
      <c r="B67" s="3" t="s">
        <v>89</v>
      </c>
      <c r="C67" s="3" t="s">
        <v>17</v>
      </c>
      <c r="D67" s="3" t="s">
        <v>18</v>
      </c>
      <c r="E67" s="3">
        <v>42831</v>
      </c>
      <c r="F67" s="3">
        <v>320984</v>
      </c>
      <c r="G67" s="3" t="s">
        <v>22</v>
      </c>
      <c r="H67" s="3" t="s">
        <v>14</v>
      </c>
      <c r="I67" s="3">
        <v>567</v>
      </c>
      <c r="J67" s="5" t="s">
        <v>15</v>
      </c>
      <c r="K67" s="3" t="str">
        <f t="shared" si="1"/>
        <v>Low Income</v>
      </c>
    </row>
    <row r="68" spans="1:11" x14ac:dyDescent="0.35">
      <c r="A68" s="4">
        <v>67</v>
      </c>
      <c r="B68" s="3" t="s">
        <v>90</v>
      </c>
      <c r="C68" s="3" t="s">
        <v>17</v>
      </c>
      <c r="D68" s="3" t="s">
        <v>21</v>
      </c>
      <c r="E68" s="3">
        <v>89310</v>
      </c>
      <c r="F68" s="3">
        <v>322754</v>
      </c>
      <c r="G68" s="3" t="s">
        <v>22</v>
      </c>
      <c r="H68" s="3" t="s">
        <v>14</v>
      </c>
      <c r="I68" s="3">
        <v>628</v>
      </c>
      <c r="J68" s="5" t="s">
        <v>24</v>
      </c>
      <c r="K68" s="3" t="str">
        <f t="shared" si="1"/>
        <v>High Income</v>
      </c>
    </row>
    <row r="69" spans="1:11" x14ac:dyDescent="0.35">
      <c r="A69" s="4">
        <v>68</v>
      </c>
      <c r="B69" s="3" t="s">
        <v>91</v>
      </c>
      <c r="C69" s="3" t="s">
        <v>17</v>
      </c>
      <c r="D69" s="3" t="s">
        <v>18</v>
      </c>
      <c r="E69" s="3">
        <v>101211</v>
      </c>
      <c r="F69" s="3">
        <v>373107</v>
      </c>
      <c r="G69" s="3" t="s">
        <v>22</v>
      </c>
      <c r="H69" s="3" t="s">
        <v>19</v>
      </c>
      <c r="I69" s="3">
        <v>838</v>
      </c>
      <c r="J69" s="5" t="s">
        <v>32</v>
      </c>
      <c r="K69" s="3" t="str">
        <f t="shared" si="1"/>
        <v>High Income</v>
      </c>
    </row>
    <row r="70" spans="1:11" x14ac:dyDescent="0.35">
      <c r="A70" s="4">
        <v>69</v>
      </c>
      <c r="B70" s="3" t="s">
        <v>92</v>
      </c>
      <c r="C70" s="3" t="s">
        <v>11</v>
      </c>
      <c r="D70" s="3" t="s">
        <v>18</v>
      </c>
      <c r="E70" s="3">
        <v>25855</v>
      </c>
      <c r="F70" s="3">
        <v>370155</v>
      </c>
      <c r="G70" s="3" t="s">
        <v>22</v>
      </c>
      <c r="H70" s="3" t="s">
        <v>14</v>
      </c>
      <c r="I70" s="3">
        <v>813</v>
      </c>
      <c r="J70" s="5" t="s">
        <v>24</v>
      </c>
      <c r="K70" s="3" t="str">
        <f t="shared" si="1"/>
        <v>Low Income</v>
      </c>
    </row>
    <row r="71" spans="1:11" x14ac:dyDescent="0.35">
      <c r="A71" s="4">
        <v>70</v>
      </c>
      <c r="B71" s="3" t="s">
        <v>93</v>
      </c>
      <c r="C71" s="3" t="s">
        <v>11</v>
      </c>
      <c r="D71" s="3" t="s">
        <v>21</v>
      </c>
      <c r="E71" s="3">
        <v>68506</v>
      </c>
      <c r="F71" s="3">
        <v>165891</v>
      </c>
      <c r="G71" s="3" t="s">
        <v>13</v>
      </c>
      <c r="H71" s="3" t="s">
        <v>23</v>
      </c>
      <c r="I71" s="3">
        <v>396</v>
      </c>
      <c r="J71" s="5" t="s">
        <v>32</v>
      </c>
      <c r="K71" s="3" t="str">
        <f t="shared" si="1"/>
        <v>Medium Income</v>
      </c>
    </row>
    <row r="72" spans="1:11" x14ac:dyDescent="0.35">
      <c r="A72" s="4">
        <v>71</v>
      </c>
      <c r="B72" s="3" t="s">
        <v>94</v>
      </c>
      <c r="C72" s="3" t="s">
        <v>17</v>
      </c>
      <c r="D72" s="3" t="s">
        <v>18</v>
      </c>
      <c r="E72" s="3">
        <v>78627</v>
      </c>
      <c r="F72" s="3">
        <v>438372</v>
      </c>
      <c r="G72" s="3" t="s">
        <v>13</v>
      </c>
      <c r="H72" s="3" t="s">
        <v>23</v>
      </c>
      <c r="I72" s="3">
        <v>649</v>
      </c>
      <c r="J72" s="5" t="s">
        <v>24</v>
      </c>
      <c r="K72" s="3" t="str">
        <f t="shared" si="1"/>
        <v>Medium Income</v>
      </c>
    </row>
    <row r="73" spans="1:11" x14ac:dyDescent="0.35">
      <c r="A73" s="4">
        <v>72</v>
      </c>
      <c r="B73" s="3" t="s">
        <v>95</v>
      </c>
      <c r="C73" s="3" t="s">
        <v>17</v>
      </c>
      <c r="D73" s="3" t="s">
        <v>12</v>
      </c>
      <c r="E73" s="3">
        <v>80609</v>
      </c>
      <c r="F73" s="3">
        <v>22323</v>
      </c>
      <c r="G73" s="3" t="s">
        <v>13</v>
      </c>
      <c r="H73" s="3" t="s">
        <v>23</v>
      </c>
      <c r="I73" s="3">
        <v>664</v>
      </c>
      <c r="J73" s="5" t="s">
        <v>32</v>
      </c>
      <c r="K73" s="3" t="str">
        <f t="shared" si="1"/>
        <v>High Income</v>
      </c>
    </row>
    <row r="74" spans="1:11" x14ac:dyDescent="0.35">
      <c r="A74" s="4">
        <v>73</v>
      </c>
      <c r="B74" s="3" t="s">
        <v>96</v>
      </c>
      <c r="C74" s="3" t="s">
        <v>11</v>
      </c>
      <c r="D74" s="3" t="s">
        <v>12</v>
      </c>
      <c r="E74" s="3">
        <v>81124</v>
      </c>
      <c r="F74" s="3">
        <v>9317</v>
      </c>
      <c r="G74" s="3" t="s">
        <v>22</v>
      </c>
      <c r="H74" s="3" t="s">
        <v>26</v>
      </c>
      <c r="I74" s="3">
        <v>527</v>
      </c>
      <c r="J74" s="5" t="s">
        <v>32</v>
      </c>
      <c r="K74" s="3" t="str">
        <f t="shared" si="1"/>
        <v>High Income</v>
      </c>
    </row>
    <row r="75" spans="1:11" x14ac:dyDescent="0.35">
      <c r="A75" s="4">
        <v>74</v>
      </c>
      <c r="B75" s="3" t="s">
        <v>97</v>
      </c>
      <c r="C75" s="3" t="s">
        <v>11</v>
      </c>
      <c r="D75" s="3" t="s">
        <v>21</v>
      </c>
      <c r="E75" s="3">
        <v>50703</v>
      </c>
      <c r="F75" s="3">
        <v>448003</v>
      </c>
      <c r="G75" s="3" t="s">
        <v>13</v>
      </c>
      <c r="H75" s="3" t="s">
        <v>14</v>
      </c>
      <c r="I75" s="3">
        <v>492</v>
      </c>
      <c r="J75" s="5" t="s">
        <v>15</v>
      </c>
      <c r="K75" s="3" t="str">
        <f t="shared" si="1"/>
        <v>Medium Income</v>
      </c>
    </row>
    <row r="76" spans="1:11" x14ac:dyDescent="0.35">
      <c r="A76" s="4">
        <v>75</v>
      </c>
      <c r="B76" s="3" t="s">
        <v>98</v>
      </c>
      <c r="C76" s="3" t="s">
        <v>11</v>
      </c>
      <c r="D76" s="3" t="s">
        <v>12</v>
      </c>
      <c r="E76" s="3">
        <v>105298</v>
      </c>
      <c r="F76" s="3">
        <v>43573</v>
      </c>
      <c r="G76" s="3" t="s">
        <v>22</v>
      </c>
      <c r="H76" s="3" t="s">
        <v>23</v>
      </c>
      <c r="I76" s="3">
        <v>420</v>
      </c>
      <c r="J76" s="5" t="s">
        <v>32</v>
      </c>
      <c r="K76" s="3" t="str">
        <f t="shared" si="1"/>
        <v>High Income</v>
      </c>
    </row>
    <row r="77" spans="1:11" x14ac:dyDescent="0.35">
      <c r="A77" s="4">
        <v>76</v>
      </c>
      <c r="B77" s="3" t="s">
        <v>99</v>
      </c>
      <c r="C77" s="3" t="s">
        <v>11</v>
      </c>
      <c r="D77" s="3" t="s">
        <v>21</v>
      </c>
      <c r="E77" s="3">
        <v>115180</v>
      </c>
      <c r="F77" s="3">
        <v>91820</v>
      </c>
      <c r="G77" s="3" t="s">
        <v>13</v>
      </c>
      <c r="H77" s="3" t="s">
        <v>26</v>
      </c>
      <c r="I77" s="3">
        <v>885</v>
      </c>
      <c r="J77" s="5" t="s">
        <v>32</v>
      </c>
      <c r="K77" s="3" t="str">
        <f t="shared" si="1"/>
        <v>High Income</v>
      </c>
    </row>
    <row r="78" spans="1:11" x14ac:dyDescent="0.35">
      <c r="A78" s="4">
        <v>77</v>
      </c>
      <c r="B78" s="3" t="s">
        <v>100</v>
      </c>
      <c r="C78" s="3" t="s">
        <v>17</v>
      </c>
      <c r="D78" s="3" t="s">
        <v>18</v>
      </c>
      <c r="E78" s="3">
        <v>113423</v>
      </c>
      <c r="F78" s="3">
        <v>314944</v>
      </c>
      <c r="G78" s="3" t="s">
        <v>22</v>
      </c>
      <c r="H78" s="3" t="s">
        <v>14</v>
      </c>
      <c r="I78" s="3">
        <v>874</v>
      </c>
      <c r="J78" s="5" t="s">
        <v>24</v>
      </c>
      <c r="K78" s="3" t="str">
        <f t="shared" si="1"/>
        <v>High Income</v>
      </c>
    </row>
    <row r="79" spans="1:11" x14ac:dyDescent="0.35">
      <c r="A79" s="4">
        <v>78</v>
      </c>
      <c r="B79" s="3" t="s">
        <v>101</v>
      </c>
      <c r="C79" s="3" t="s">
        <v>17</v>
      </c>
      <c r="D79" s="3" t="s">
        <v>12</v>
      </c>
      <c r="E79" s="3">
        <v>39439</v>
      </c>
      <c r="F79" s="3">
        <v>117717</v>
      </c>
      <c r="G79" s="3" t="s">
        <v>13</v>
      </c>
      <c r="H79" s="3" t="s">
        <v>26</v>
      </c>
      <c r="I79" s="3">
        <v>743</v>
      </c>
      <c r="J79" s="5" t="s">
        <v>32</v>
      </c>
      <c r="K79" s="3" t="str">
        <f t="shared" si="1"/>
        <v>Low Income</v>
      </c>
    </row>
    <row r="80" spans="1:11" x14ac:dyDescent="0.35">
      <c r="A80" s="4">
        <v>79</v>
      </c>
      <c r="B80" s="3" t="s">
        <v>102</v>
      </c>
      <c r="C80" s="3" t="s">
        <v>11</v>
      </c>
      <c r="D80" s="3" t="s">
        <v>21</v>
      </c>
      <c r="E80" s="3">
        <v>112819</v>
      </c>
      <c r="F80" s="3">
        <v>52136</v>
      </c>
      <c r="G80" s="3" t="s">
        <v>13</v>
      </c>
      <c r="H80" s="3" t="s">
        <v>19</v>
      </c>
      <c r="I80" s="3">
        <v>308</v>
      </c>
      <c r="J80" s="5" t="s">
        <v>32</v>
      </c>
      <c r="K80" s="3" t="str">
        <f t="shared" si="1"/>
        <v>High Income</v>
      </c>
    </row>
    <row r="81" spans="1:11" x14ac:dyDescent="0.35">
      <c r="A81" s="4">
        <v>80</v>
      </c>
      <c r="B81" s="3" t="s">
        <v>103</v>
      </c>
      <c r="C81" s="3" t="s">
        <v>11</v>
      </c>
      <c r="D81" s="3" t="s">
        <v>18</v>
      </c>
      <c r="E81" s="3">
        <v>82560</v>
      </c>
      <c r="F81" s="3">
        <v>281509</v>
      </c>
      <c r="G81" s="3" t="s">
        <v>13</v>
      </c>
      <c r="H81" s="3" t="s">
        <v>23</v>
      </c>
      <c r="I81" s="3">
        <v>592</v>
      </c>
      <c r="J81" s="5" t="s">
        <v>32</v>
      </c>
      <c r="K81" s="3" t="str">
        <f t="shared" si="1"/>
        <v>High Income</v>
      </c>
    </row>
    <row r="82" spans="1:11" x14ac:dyDescent="0.35">
      <c r="A82" s="4">
        <v>81</v>
      </c>
      <c r="B82" s="3" t="s">
        <v>104</v>
      </c>
      <c r="C82" s="3" t="s">
        <v>11</v>
      </c>
      <c r="D82" s="3" t="s">
        <v>12</v>
      </c>
      <c r="E82" s="3">
        <v>38554</v>
      </c>
      <c r="F82" s="3">
        <v>127501</v>
      </c>
      <c r="G82" s="3" t="s">
        <v>13</v>
      </c>
      <c r="H82" s="3" t="s">
        <v>14</v>
      </c>
      <c r="I82" s="3">
        <v>536</v>
      </c>
      <c r="J82" s="5" t="s">
        <v>24</v>
      </c>
      <c r="K82" s="3" t="str">
        <f t="shared" si="1"/>
        <v>Low Income</v>
      </c>
    </row>
    <row r="83" spans="1:11" x14ac:dyDescent="0.35">
      <c r="A83" s="4">
        <v>82</v>
      </c>
      <c r="B83" s="3" t="s">
        <v>105</v>
      </c>
      <c r="C83" s="3" t="s">
        <v>17</v>
      </c>
      <c r="D83" s="3" t="s">
        <v>21</v>
      </c>
      <c r="E83" s="3">
        <v>72209</v>
      </c>
      <c r="F83" s="3">
        <v>186985</v>
      </c>
      <c r="G83" s="3" t="s">
        <v>22</v>
      </c>
      <c r="H83" s="3" t="s">
        <v>19</v>
      </c>
      <c r="I83" s="3">
        <v>636</v>
      </c>
      <c r="J83" s="5" t="s">
        <v>24</v>
      </c>
      <c r="K83" s="3" t="str">
        <f t="shared" si="1"/>
        <v>Medium Income</v>
      </c>
    </row>
    <row r="84" spans="1:11" x14ac:dyDescent="0.35">
      <c r="A84" s="4">
        <v>83</v>
      </c>
      <c r="B84" s="3" t="s">
        <v>106</v>
      </c>
      <c r="C84" s="3" t="s">
        <v>17</v>
      </c>
      <c r="D84" s="3" t="s">
        <v>12</v>
      </c>
      <c r="E84" s="3">
        <v>91508</v>
      </c>
      <c r="F84" s="3">
        <v>78301</v>
      </c>
      <c r="G84" s="3" t="s">
        <v>22</v>
      </c>
      <c r="H84" s="3" t="s">
        <v>23</v>
      </c>
      <c r="I84" s="3">
        <v>652</v>
      </c>
      <c r="J84" s="5" t="s">
        <v>15</v>
      </c>
      <c r="K84" s="3" t="str">
        <f t="shared" si="1"/>
        <v>High Income</v>
      </c>
    </row>
    <row r="85" spans="1:11" x14ac:dyDescent="0.35">
      <c r="A85" s="4">
        <v>84</v>
      </c>
      <c r="B85" s="3" t="s">
        <v>107</v>
      </c>
      <c r="C85" s="3" t="s">
        <v>11</v>
      </c>
      <c r="D85" s="3" t="s">
        <v>12</v>
      </c>
      <c r="E85" s="3">
        <v>52314</v>
      </c>
      <c r="F85" s="3">
        <v>183214</v>
      </c>
      <c r="G85" s="3" t="s">
        <v>22</v>
      </c>
      <c r="H85" s="3" t="s">
        <v>14</v>
      </c>
      <c r="I85" s="3">
        <v>610</v>
      </c>
      <c r="J85" s="5" t="s">
        <v>32</v>
      </c>
      <c r="K85" s="3" t="str">
        <f t="shared" si="1"/>
        <v>Medium Income</v>
      </c>
    </row>
    <row r="86" spans="1:11" x14ac:dyDescent="0.35">
      <c r="A86" s="4">
        <v>85</v>
      </c>
      <c r="B86" s="3" t="s">
        <v>108</v>
      </c>
      <c r="C86" s="3" t="s">
        <v>11</v>
      </c>
      <c r="D86" s="3" t="s">
        <v>21</v>
      </c>
      <c r="E86" s="3">
        <v>71129</v>
      </c>
      <c r="F86" s="3">
        <v>137279</v>
      </c>
      <c r="G86" s="3" t="s">
        <v>13</v>
      </c>
      <c r="H86" s="3" t="s">
        <v>26</v>
      </c>
      <c r="I86" s="3">
        <v>382</v>
      </c>
      <c r="J86" s="5" t="s">
        <v>24</v>
      </c>
      <c r="K86" s="3" t="str">
        <f t="shared" si="1"/>
        <v>Medium Income</v>
      </c>
    </row>
    <row r="87" spans="1:11" x14ac:dyDescent="0.35">
      <c r="A87" s="4">
        <v>86</v>
      </c>
      <c r="B87" s="3" t="s">
        <v>109</v>
      </c>
      <c r="C87" s="3" t="s">
        <v>17</v>
      </c>
      <c r="D87" s="3" t="s">
        <v>12</v>
      </c>
      <c r="E87" s="3">
        <v>39618</v>
      </c>
      <c r="F87" s="3">
        <v>218478</v>
      </c>
      <c r="G87" s="3" t="s">
        <v>13</v>
      </c>
      <c r="H87" s="3" t="s">
        <v>14</v>
      </c>
      <c r="I87" s="3">
        <v>382</v>
      </c>
      <c r="J87" s="5" t="s">
        <v>32</v>
      </c>
      <c r="K87" s="3" t="str">
        <f t="shared" si="1"/>
        <v>Low Income</v>
      </c>
    </row>
    <row r="88" spans="1:11" x14ac:dyDescent="0.35">
      <c r="A88" s="4">
        <v>87</v>
      </c>
      <c r="B88" s="3" t="s">
        <v>110</v>
      </c>
      <c r="C88" s="3" t="s">
        <v>17</v>
      </c>
      <c r="D88" s="3" t="s">
        <v>18</v>
      </c>
      <c r="E88" s="3">
        <v>47035</v>
      </c>
      <c r="F88" s="3">
        <v>480654</v>
      </c>
      <c r="G88" s="3" t="s">
        <v>22</v>
      </c>
      <c r="H88" s="3" t="s">
        <v>26</v>
      </c>
      <c r="I88" s="3">
        <v>514</v>
      </c>
      <c r="J88" s="5" t="s">
        <v>24</v>
      </c>
      <c r="K88" s="3" t="str">
        <f t="shared" si="1"/>
        <v>Low Income</v>
      </c>
    </row>
    <row r="89" spans="1:11" x14ac:dyDescent="0.35">
      <c r="A89" s="4">
        <v>88</v>
      </c>
      <c r="B89" s="3" t="s">
        <v>111</v>
      </c>
      <c r="C89" s="3" t="s">
        <v>11</v>
      </c>
      <c r="D89" s="3" t="s">
        <v>21</v>
      </c>
      <c r="E89" s="3">
        <v>84339</v>
      </c>
      <c r="F89" s="3">
        <v>307378</v>
      </c>
      <c r="G89" s="3" t="s">
        <v>22</v>
      </c>
      <c r="H89" s="3" t="s">
        <v>14</v>
      </c>
      <c r="I89" s="3">
        <v>407</v>
      </c>
      <c r="J89" s="5" t="s">
        <v>24</v>
      </c>
      <c r="K89" s="3" t="str">
        <f t="shared" si="1"/>
        <v>High Income</v>
      </c>
    </row>
    <row r="90" spans="1:11" x14ac:dyDescent="0.35">
      <c r="A90" s="4">
        <v>89</v>
      </c>
      <c r="B90" s="3" t="s">
        <v>112</v>
      </c>
      <c r="C90" s="3" t="s">
        <v>11</v>
      </c>
      <c r="D90" s="3" t="s">
        <v>12</v>
      </c>
      <c r="E90" s="3">
        <v>56209</v>
      </c>
      <c r="F90" s="3">
        <v>178419</v>
      </c>
      <c r="G90" s="3" t="s">
        <v>22</v>
      </c>
      <c r="H90" s="3" t="s">
        <v>23</v>
      </c>
      <c r="I90" s="3">
        <v>609</v>
      </c>
      <c r="J90" s="5" t="s">
        <v>24</v>
      </c>
      <c r="K90" s="3" t="str">
        <f t="shared" si="1"/>
        <v>Medium Income</v>
      </c>
    </row>
    <row r="91" spans="1:11" x14ac:dyDescent="0.35">
      <c r="A91" s="4">
        <v>90</v>
      </c>
      <c r="B91" s="3" t="s">
        <v>113</v>
      </c>
      <c r="C91" s="3" t="s">
        <v>17</v>
      </c>
      <c r="D91" s="3" t="s">
        <v>21</v>
      </c>
      <c r="E91" s="3">
        <v>70693</v>
      </c>
      <c r="F91" s="3">
        <v>203386</v>
      </c>
      <c r="G91" s="3" t="s">
        <v>22</v>
      </c>
      <c r="H91" s="3" t="s">
        <v>23</v>
      </c>
      <c r="I91" s="3">
        <v>338</v>
      </c>
      <c r="J91" s="5" t="s">
        <v>15</v>
      </c>
      <c r="K91" s="3" t="str">
        <f t="shared" si="1"/>
        <v>Medium Income</v>
      </c>
    </row>
    <row r="92" spans="1:11" x14ac:dyDescent="0.35">
      <c r="A92" s="4">
        <v>91</v>
      </c>
      <c r="B92" s="3" t="s">
        <v>114</v>
      </c>
      <c r="C92" s="3" t="s">
        <v>17</v>
      </c>
      <c r="D92" s="3" t="s">
        <v>18</v>
      </c>
      <c r="E92" s="3">
        <v>94953</v>
      </c>
      <c r="F92" s="3">
        <v>455236</v>
      </c>
      <c r="G92" s="3" t="s">
        <v>13</v>
      </c>
      <c r="H92" s="3" t="s">
        <v>19</v>
      </c>
      <c r="I92" s="3">
        <v>784</v>
      </c>
      <c r="J92" s="5" t="s">
        <v>24</v>
      </c>
      <c r="K92" s="3" t="str">
        <f t="shared" si="1"/>
        <v>High Income</v>
      </c>
    </row>
    <row r="93" spans="1:11" x14ac:dyDescent="0.35">
      <c r="A93" s="4">
        <v>92</v>
      </c>
      <c r="B93" s="3" t="s">
        <v>115</v>
      </c>
      <c r="C93" s="3" t="s">
        <v>17</v>
      </c>
      <c r="D93" s="3" t="s">
        <v>18</v>
      </c>
      <c r="E93" s="3">
        <v>119142</v>
      </c>
      <c r="F93" s="3">
        <v>283594</v>
      </c>
      <c r="G93" s="3" t="s">
        <v>13</v>
      </c>
      <c r="H93" s="3" t="s">
        <v>23</v>
      </c>
      <c r="I93" s="3">
        <v>612</v>
      </c>
      <c r="J93" s="5" t="s">
        <v>15</v>
      </c>
      <c r="K93" s="3" t="str">
        <f t="shared" si="1"/>
        <v>High Income</v>
      </c>
    </row>
    <row r="94" spans="1:11" x14ac:dyDescent="0.35">
      <c r="A94" s="4">
        <v>93</v>
      </c>
      <c r="B94" s="3" t="s">
        <v>116</v>
      </c>
      <c r="C94" s="3" t="s">
        <v>17</v>
      </c>
      <c r="D94" s="3" t="s">
        <v>21</v>
      </c>
      <c r="E94" s="3">
        <v>35399</v>
      </c>
      <c r="F94" s="3">
        <v>375292</v>
      </c>
      <c r="G94" s="3" t="s">
        <v>13</v>
      </c>
      <c r="H94" s="3" t="s">
        <v>23</v>
      </c>
      <c r="I94" s="3">
        <v>301</v>
      </c>
      <c r="J94" s="5" t="s">
        <v>15</v>
      </c>
      <c r="K94" s="3" t="str">
        <f t="shared" si="1"/>
        <v>Low Income</v>
      </c>
    </row>
    <row r="95" spans="1:11" x14ac:dyDescent="0.35">
      <c r="A95" s="4">
        <v>94</v>
      </c>
      <c r="B95" s="3" t="s">
        <v>117</v>
      </c>
      <c r="C95" s="3" t="s">
        <v>11</v>
      </c>
      <c r="D95" s="3" t="s">
        <v>12</v>
      </c>
      <c r="E95" s="3">
        <v>99922</v>
      </c>
      <c r="F95" s="3">
        <v>361161</v>
      </c>
      <c r="G95" s="3" t="s">
        <v>13</v>
      </c>
      <c r="H95" s="3" t="s">
        <v>19</v>
      </c>
      <c r="I95" s="3">
        <v>471</v>
      </c>
      <c r="J95" s="5" t="s">
        <v>24</v>
      </c>
      <c r="K95" s="3" t="str">
        <f t="shared" si="1"/>
        <v>High Income</v>
      </c>
    </row>
    <row r="96" spans="1:11" x14ac:dyDescent="0.35">
      <c r="A96" s="4">
        <v>95</v>
      </c>
      <c r="B96" s="3" t="s">
        <v>118</v>
      </c>
      <c r="C96" s="3" t="s">
        <v>11</v>
      </c>
      <c r="D96" s="3" t="s">
        <v>18</v>
      </c>
      <c r="E96" s="3">
        <v>67224</v>
      </c>
      <c r="F96" s="3">
        <v>139082</v>
      </c>
      <c r="G96" s="3" t="s">
        <v>22</v>
      </c>
      <c r="H96" s="3" t="s">
        <v>26</v>
      </c>
      <c r="I96" s="3">
        <v>507</v>
      </c>
      <c r="J96" s="5" t="s">
        <v>24</v>
      </c>
      <c r="K96" s="3" t="str">
        <f t="shared" si="1"/>
        <v>Medium Income</v>
      </c>
    </row>
    <row r="97" spans="1:11" x14ac:dyDescent="0.35">
      <c r="A97" s="4">
        <v>96</v>
      </c>
      <c r="B97" s="3" t="s">
        <v>119</v>
      </c>
      <c r="C97" s="3" t="s">
        <v>11</v>
      </c>
      <c r="D97" s="3" t="s">
        <v>12</v>
      </c>
      <c r="E97" s="3">
        <v>63528</v>
      </c>
      <c r="F97" s="3">
        <v>153607</v>
      </c>
      <c r="G97" s="3" t="s">
        <v>13</v>
      </c>
      <c r="H97" s="3" t="s">
        <v>23</v>
      </c>
      <c r="I97" s="3">
        <v>633</v>
      </c>
      <c r="J97" s="5" t="s">
        <v>32</v>
      </c>
      <c r="K97" s="3" t="str">
        <f t="shared" si="1"/>
        <v>Medium Income</v>
      </c>
    </row>
    <row r="98" spans="1:11" x14ac:dyDescent="0.35">
      <c r="A98" s="4">
        <v>97</v>
      </c>
      <c r="B98" s="3" t="s">
        <v>120</v>
      </c>
      <c r="C98" s="3" t="s">
        <v>17</v>
      </c>
      <c r="D98" s="3" t="s">
        <v>12</v>
      </c>
      <c r="E98" s="3">
        <v>29258</v>
      </c>
      <c r="F98" s="3">
        <v>171037</v>
      </c>
      <c r="G98" s="3" t="s">
        <v>22</v>
      </c>
      <c r="H98" s="3" t="s">
        <v>26</v>
      </c>
      <c r="I98" s="3">
        <v>706</v>
      </c>
      <c r="J98" s="5" t="s">
        <v>24</v>
      </c>
      <c r="K98" s="3" t="str">
        <f t="shared" si="1"/>
        <v>Low Income</v>
      </c>
    </row>
    <row r="99" spans="1:11" x14ac:dyDescent="0.35">
      <c r="A99" s="4">
        <v>98</v>
      </c>
      <c r="B99" s="3" t="s">
        <v>121</v>
      </c>
      <c r="C99" s="3" t="s">
        <v>11</v>
      </c>
      <c r="D99" s="3" t="s">
        <v>21</v>
      </c>
      <c r="E99" s="3">
        <v>99056</v>
      </c>
      <c r="F99" s="3">
        <v>146347</v>
      </c>
      <c r="G99" s="3" t="s">
        <v>22</v>
      </c>
      <c r="H99" s="3" t="s">
        <v>14</v>
      </c>
      <c r="I99" s="3">
        <v>589</v>
      </c>
      <c r="J99" s="5" t="s">
        <v>15</v>
      </c>
      <c r="K99" s="3" t="str">
        <f t="shared" si="1"/>
        <v>High Income</v>
      </c>
    </row>
    <row r="100" spans="1:11" x14ac:dyDescent="0.35">
      <c r="A100" s="4">
        <v>99</v>
      </c>
      <c r="B100" s="3" t="s">
        <v>122</v>
      </c>
      <c r="C100" s="3" t="s">
        <v>11</v>
      </c>
      <c r="D100" s="3" t="s">
        <v>18</v>
      </c>
      <c r="E100" s="3">
        <v>96952</v>
      </c>
      <c r="F100" s="3">
        <v>374299</v>
      </c>
      <c r="G100" s="3" t="s">
        <v>13</v>
      </c>
      <c r="H100" s="3" t="s">
        <v>14</v>
      </c>
      <c r="I100" s="3">
        <v>640</v>
      </c>
      <c r="J100" s="5" t="s">
        <v>24</v>
      </c>
      <c r="K100" s="3" t="str">
        <f t="shared" si="1"/>
        <v>High Income</v>
      </c>
    </row>
    <row r="101" spans="1:11" x14ac:dyDescent="0.35">
      <c r="A101" s="4">
        <v>100</v>
      </c>
      <c r="B101" s="3" t="s">
        <v>123</v>
      </c>
      <c r="C101" s="3" t="s">
        <v>11</v>
      </c>
      <c r="D101" s="3" t="s">
        <v>21</v>
      </c>
      <c r="E101" s="3">
        <v>89395</v>
      </c>
      <c r="F101" s="3">
        <v>191396</v>
      </c>
      <c r="G101" s="3" t="s">
        <v>22</v>
      </c>
      <c r="H101" s="3" t="s">
        <v>23</v>
      </c>
      <c r="I101" s="3">
        <v>325</v>
      </c>
      <c r="J101" s="5" t="s">
        <v>24</v>
      </c>
      <c r="K101" s="3" t="str">
        <f t="shared" si="1"/>
        <v>High Income</v>
      </c>
    </row>
    <row r="102" spans="1:11" x14ac:dyDescent="0.35">
      <c r="A102" s="4">
        <v>101</v>
      </c>
      <c r="B102" s="3" t="s">
        <v>124</v>
      </c>
      <c r="C102" s="3" t="s">
        <v>17</v>
      </c>
      <c r="D102" s="3" t="s">
        <v>12</v>
      </c>
      <c r="E102" s="3">
        <v>70080</v>
      </c>
      <c r="F102" s="3">
        <v>354083</v>
      </c>
      <c r="G102" s="3" t="s">
        <v>13</v>
      </c>
      <c r="H102" s="3" t="s">
        <v>19</v>
      </c>
      <c r="I102" s="3">
        <v>502</v>
      </c>
      <c r="J102" s="5" t="s">
        <v>32</v>
      </c>
      <c r="K102" s="3" t="str">
        <f t="shared" si="1"/>
        <v>Medium Income</v>
      </c>
    </row>
    <row r="103" spans="1:11" x14ac:dyDescent="0.35">
      <c r="A103" s="4">
        <v>102</v>
      </c>
      <c r="B103" s="3" t="s">
        <v>125</v>
      </c>
      <c r="C103" s="3" t="s">
        <v>17</v>
      </c>
      <c r="D103" s="3" t="s">
        <v>21</v>
      </c>
      <c r="E103" s="3">
        <v>112994</v>
      </c>
      <c r="F103" s="3">
        <v>499320</v>
      </c>
      <c r="G103" s="3" t="s">
        <v>13</v>
      </c>
      <c r="H103" s="3" t="s">
        <v>23</v>
      </c>
      <c r="I103" s="3">
        <v>344</v>
      </c>
      <c r="J103" s="5" t="s">
        <v>24</v>
      </c>
      <c r="K103" s="3" t="str">
        <f t="shared" si="1"/>
        <v>High Income</v>
      </c>
    </row>
    <row r="104" spans="1:11" x14ac:dyDescent="0.35">
      <c r="A104" s="4">
        <v>103</v>
      </c>
      <c r="B104" s="3" t="s">
        <v>126</v>
      </c>
      <c r="C104" s="3" t="s">
        <v>17</v>
      </c>
      <c r="D104" s="3" t="s">
        <v>12</v>
      </c>
      <c r="E104" s="3">
        <v>42068</v>
      </c>
      <c r="F104" s="3">
        <v>338428</v>
      </c>
      <c r="G104" s="3" t="s">
        <v>13</v>
      </c>
      <c r="H104" s="3" t="s">
        <v>14</v>
      </c>
      <c r="I104" s="3">
        <v>499</v>
      </c>
      <c r="J104" s="5" t="s">
        <v>32</v>
      </c>
      <c r="K104" s="3" t="str">
        <f t="shared" si="1"/>
        <v>Low Income</v>
      </c>
    </row>
    <row r="105" spans="1:11" x14ac:dyDescent="0.35">
      <c r="A105" s="4">
        <v>104</v>
      </c>
      <c r="B105" s="3" t="s">
        <v>127</v>
      </c>
      <c r="C105" s="3" t="s">
        <v>17</v>
      </c>
      <c r="D105" s="3" t="s">
        <v>21</v>
      </c>
      <c r="E105" s="3">
        <v>98316</v>
      </c>
      <c r="F105" s="3">
        <v>242711</v>
      </c>
      <c r="G105" s="3" t="s">
        <v>22</v>
      </c>
      <c r="H105" s="3" t="s">
        <v>26</v>
      </c>
      <c r="I105" s="3">
        <v>611</v>
      </c>
      <c r="J105" s="5" t="s">
        <v>32</v>
      </c>
      <c r="K105" s="3" t="str">
        <f t="shared" si="1"/>
        <v>High Income</v>
      </c>
    </row>
    <row r="106" spans="1:11" x14ac:dyDescent="0.35">
      <c r="A106" s="4">
        <v>105</v>
      </c>
      <c r="B106" s="3" t="s">
        <v>128</v>
      </c>
      <c r="C106" s="3" t="s">
        <v>11</v>
      </c>
      <c r="D106" s="3" t="s">
        <v>12</v>
      </c>
      <c r="E106" s="3">
        <v>94950</v>
      </c>
      <c r="F106" s="3">
        <v>364808</v>
      </c>
      <c r="G106" s="3" t="s">
        <v>22</v>
      </c>
      <c r="H106" s="3" t="s">
        <v>26</v>
      </c>
      <c r="I106" s="3">
        <v>677</v>
      </c>
      <c r="J106" s="5" t="s">
        <v>24</v>
      </c>
      <c r="K106" s="3" t="str">
        <f t="shared" si="1"/>
        <v>High Income</v>
      </c>
    </row>
    <row r="107" spans="1:11" x14ac:dyDescent="0.35">
      <c r="A107" s="4">
        <v>106</v>
      </c>
      <c r="B107" s="3" t="s">
        <v>129</v>
      </c>
      <c r="C107" s="3" t="s">
        <v>17</v>
      </c>
      <c r="D107" s="3" t="s">
        <v>12</v>
      </c>
      <c r="E107" s="3">
        <v>42773</v>
      </c>
      <c r="F107" s="3">
        <v>333566</v>
      </c>
      <c r="G107" s="3" t="s">
        <v>13</v>
      </c>
      <c r="H107" s="3" t="s">
        <v>19</v>
      </c>
      <c r="I107" s="3">
        <v>371</v>
      </c>
      <c r="J107" s="5" t="s">
        <v>24</v>
      </c>
      <c r="K107" s="3" t="str">
        <f t="shared" si="1"/>
        <v>Low Income</v>
      </c>
    </row>
    <row r="108" spans="1:11" x14ac:dyDescent="0.35">
      <c r="A108" s="4">
        <v>107</v>
      </c>
      <c r="B108" s="3" t="s">
        <v>130</v>
      </c>
      <c r="C108" s="3" t="s">
        <v>11</v>
      </c>
      <c r="D108" s="3" t="s">
        <v>18</v>
      </c>
      <c r="E108" s="3">
        <v>75849</v>
      </c>
      <c r="F108" s="3">
        <v>395553</v>
      </c>
      <c r="G108" s="3" t="s">
        <v>13</v>
      </c>
      <c r="H108" s="3" t="s">
        <v>19</v>
      </c>
      <c r="I108" s="3">
        <v>796</v>
      </c>
      <c r="J108" s="5" t="s">
        <v>32</v>
      </c>
      <c r="K108" s="3" t="str">
        <f t="shared" si="1"/>
        <v>Medium Income</v>
      </c>
    </row>
    <row r="109" spans="1:11" x14ac:dyDescent="0.35">
      <c r="A109" s="4">
        <v>108</v>
      </c>
      <c r="B109" s="3" t="s">
        <v>131</v>
      </c>
      <c r="C109" s="3" t="s">
        <v>11</v>
      </c>
      <c r="D109" s="3" t="s">
        <v>12</v>
      </c>
      <c r="E109" s="3">
        <v>49024</v>
      </c>
      <c r="F109" s="3">
        <v>80752</v>
      </c>
      <c r="G109" s="3" t="s">
        <v>22</v>
      </c>
      <c r="H109" s="3" t="s">
        <v>14</v>
      </c>
      <c r="I109" s="3">
        <v>565</v>
      </c>
      <c r="J109" s="5" t="s">
        <v>32</v>
      </c>
      <c r="K109" s="3" t="str">
        <f t="shared" si="1"/>
        <v>Low Income</v>
      </c>
    </row>
    <row r="110" spans="1:11" x14ac:dyDescent="0.35">
      <c r="A110" s="4">
        <v>109</v>
      </c>
      <c r="B110" s="3" t="s">
        <v>132</v>
      </c>
      <c r="C110" s="3" t="s">
        <v>17</v>
      </c>
      <c r="D110" s="3" t="s">
        <v>21</v>
      </c>
      <c r="E110" s="3">
        <v>50511</v>
      </c>
      <c r="F110" s="3">
        <v>444288</v>
      </c>
      <c r="G110" s="3" t="s">
        <v>22</v>
      </c>
      <c r="H110" s="3" t="s">
        <v>23</v>
      </c>
      <c r="I110" s="3">
        <v>640</v>
      </c>
      <c r="J110" s="5" t="s">
        <v>32</v>
      </c>
      <c r="K110" s="3" t="str">
        <f t="shared" si="1"/>
        <v>Medium Income</v>
      </c>
    </row>
    <row r="111" spans="1:11" x14ac:dyDescent="0.35">
      <c r="A111" s="4">
        <v>110</v>
      </c>
      <c r="B111" s="3" t="s">
        <v>133</v>
      </c>
      <c r="C111" s="3" t="s">
        <v>11</v>
      </c>
      <c r="D111" s="3" t="s">
        <v>21</v>
      </c>
      <c r="E111" s="3">
        <v>31365</v>
      </c>
      <c r="F111" s="3">
        <v>394413</v>
      </c>
      <c r="G111" s="3" t="s">
        <v>22</v>
      </c>
      <c r="H111" s="3" t="s">
        <v>26</v>
      </c>
      <c r="I111" s="3">
        <v>433</v>
      </c>
      <c r="J111" s="5" t="s">
        <v>15</v>
      </c>
      <c r="K111" s="3" t="str">
        <f t="shared" si="1"/>
        <v>Low Income</v>
      </c>
    </row>
    <row r="112" spans="1:11" x14ac:dyDescent="0.35">
      <c r="A112" s="4">
        <v>111</v>
      </c>
      <c r="B112" s="3" t="s">
        <v>134</v>
      </c>
      <c r="C112" s="3" t="s">
        <v>11</v>
      </c>
      <c r="D112" s="3" t="s">
        <v>21</v>
      </c>
      <c r="E112" s="3">
        <v>22851</v>
      </c>
      <c r="F112" s="3">
        <v>262281</v>
      </c>
      <c r="G112" s="3" t="s">
        <v>13</v>
      </c>
      <c r="H112" s="3" t="s">
        <v>14</v>
      </c>
      <c r="I112" s="3">
        <v>332</v>
      </c>
      <c r="J112" s="5" t="s">
        <v>15</v>
      </c>
      <c r="K112" s="3" t="str">
        <f t="shared" si="1"/>
        <v>Low Income</v>
      </c>
    </row>
    <row r="113" spans="1:11" x14ac:dyDescent="0.35">
      <c r="A113" s="4">
        <v>112</v>
      </c>
      <c r="B113" s="3" t="s">
        <v>135</v>
      </c>
      <c r="C113" s="3" t="s">
        <v>17</v>
      </c>
      <c r="D113" s="3" t="s">
        <v>18</v>
      </c>
      <c r="E113" s="3">
        <v>73380</v>
      </c>
      <c r="F113" s="3">
        <v>121280</v>
      </c>
      <c r="G113" s="3" t="s">
        <v>22</v>
      </c>
      <c r="H113" s="3" t="s">
        <v>23</v>
      </c>
      <c r="I113" s="3">
        <v>378</v>
      </c>
      <c r="J113" s="5" t="s">
        <v>32</v>
      </c>
      <c r="K113" s="3" t="str">
        <f t="shared" si="1"/>
        <v>Medium Income</v>
      </c>
    </row>
    <row r="114" spans="1:11" x14ac:dyDescent="0.35">
      <c r="A114" s="4">
        <v>113</v>
      </c>
      <c r="B114" s="3" t="s">
        <v>136</v>
      </c>
      <c r="C114" s="3" t="s">
        <v>17</v>
      </c>
      <c r="D114" s="3" t="s">
        <v>21</v>
      </c>
      <c r="E114" s="3">
        <v>89249</v>
      </c>
      <c r="F114" s="3">
        <v>498359</v>
      </c>
      <c r="G114" s="3" t="s">
        <v>22</v>
      </c>
      <c r="H114" s="3" t="s">
        <v>14</v>
      </c>
      <c r="I114" s="3">
        <v>505</v>
      </c>
      <c r="J114" s="5" t="s">
        <v>15</v>
      </c>
      <c r="K114" s="3" t="str">
        <f t="shared" si="1"/>
        <v>High Income</v>
      </c>
    </row>
    <row r="115" spans="1:11" x14ac:dyDescent="0.35">
      <c r="A115" s="4">
        <v>114</v>
      </c>
      <c r="B115" s="3" t="s">
        <v>137</v>
      </c>
      <c r="C115" s="3" t="s">
        <v>11</v>
      </c>
      <c r="D115" s="3" t="s">
        <v>21</v>
      </c>
      <c r="E115" s="3">
        <v>98770</v>
      </c>
      <c r="F115" s="3">
        <v>64975</v>
      </c>
      <c r="G115" s="3" t="s">
        <v>22</v>
      </c>
      <c r="H115" s="3" t="s">
        <v>19</v>
      </c>
      <c r="I115" s="3">
        <v>469</v>
      </c>
      <c r="J115" s="5" t="s">
        <v>24</v>
      </c>
      <c r="K115" s="3" t="str">
        <f t="shared" si="1"/>
        <v>High Income</v>
      </c>
    </row>
    <row r="116" spans="1:11" x14ac:dyDescent="0.35">
      <c r="A116" s="4">
        <v>115</v>
      </c>
      <c r="B116" s="3" t="s">
        <v>138</v>
      </c>
      <c r="C116" s="3" t="s">
        <v>17</v>
      </c>
      <c r="D116" s="3" t="s">
        <v>12</v>
      </c>
      <c r="E116" s="3">
        <v>40085</v>
      </c>
      <c r="F116" s="3">
        <v>103487</v>
      </c>
      <c r="G116" s="3" t="s">
        <v>22</v>
      </c>
      <c r="H116" s="3" t="s">
        <v>23</v>
      </c>
      <c r="I116" s="3">
        <v>879</v>
      </c>
      <c r="J116" s="5" t="s">
        <v>32</v>
      </c>
      <c r="K116" s="3" t="str">
        <f t="shared" si="1"/>
        <v>Low Income</v>
      </c>
    </row>
    <row r="117" spans="1:11" x14ac:dyDescent="0.35">
      <c r="A117" s="4">
        <v>116</v>
      </c>
      <c r="B117" s="3" t="s">
        <v>139</v>
      </c>
      <c r="C117" s="3" t="s">
        <v>17</v>
      </c>
      <c r="D117" s="3" t="s">
        <v>18</v>
      </c>
      <c r="E117" s="3">
        <v>82258</v>
      </c>
      <c r="F117" s="3">
        <v>253280</v>
      </c>
      <c r="G117" s="3" t="s">
        <v>22</v>
      </c>
      <c r="H117" s="3" t="s">
        <v>14</v>
      </c>
      <c r="I117" s="3">
        <v>468</v>
      </c>
      <c r="J117" s="5" t="s">
        <v>24</v>
      </c>
      <c r="K117" s="3" t="str">
        <f t="shared" si="1"/>
        <v>High Income</v>
      </c>
    </row>
    <row r="118" spans="1:11" x14ac:dyDescent="0.35">
      <c r="A118" s="4">
        <v>117</v>
      </c>
      <c r="B118" s="3" t="s">
        <v>140</v>
      </c>
      <c r="C118" s="3" t="s">
        <v>11</v>
      </c>
      <c r="D118" s="3" t="s">
        <v>12</v>
      </c>
      <c r="E118" s="3">
        <v>109699</v>
      </c>
      <c r="F118" s="3">
        <v>197706</v>
      </c>
      <c r="G118" s="3" t="s">
        <v>13</v>
      </c>
      <c r="H118" s="3" t="s">
        <v>19</v>
      </c>
      <c r="I118" s="3">
        <v>523</v>
      </c>
      <c r="J118" s="5" t="s">
        <v>32</v>
      </c>
      <c r="K118" s="3" t="str">
        <f t="shared" si="1"/>
        <v>High Income</v>
      </c>
    </row>
    <row r="119" spans="1:11" x14ac:dyDescent="0.35">
      <c r="A119" s="4">
        <v>118</v>
      </c>
      <c r="B119" s="3" t="s">
        <v>141</v>
      </c>
      <c r="C119" s="3" t="s">
        <v>11</v>
      </c>
      <c r="D119" s="3" t="s">
        <v>18</v>
      </c>
      <c r="E119" s="3">
        <v>64608</v>
      </c>
      <c r="F119" s="3">
        <v>71022</v>
      </c>
      <c r="G119" s="3" t="s">
        <v>22</v>
      </c>
      <c r="H119" s="3" t="s">
        <v>26</v>
      </c>
      <c r="I119" s="3">
        <v>420</v>
      </c>
      <c r="J119" s="5" t="s">
        <v>24</v>
      </c>
      <c r="K119" s="3" t="str">
        <f t="shared" si="1"/>
        <v>Medium Income</v>
      </c>
    </row>
    <row r="120" spans="1:11" x14ac:dyDescent="0.35">
      <c r="A120" s="4">
        <v>119</v>
      </c>
      <c r="B120" s="3" t="s">
        <v>142</v>
      </c>
      <c r="C120" s="3" t="s">
        <v>11</v>
      </c>
      <c r="D120" s="3" t="s">
        <v>21</v>
      </c>
      <c r="E120" s="3">
        <v>112187</v>
      </c>
      <c r="F120" s="3">
        <v>488918</v>
      </c>
      <c r="G120" s="3" t="s">
        <v>13</v>
      </c>
      <c r="H120" s="3" t="s">
        <v>19</v>
      </c>
      <c r="I120" s="3">
        <v>658</v>
      </c>
      <c r="J120" s="5" t="s">
        <v>32</v>
      </c>
      <c r="K120" s="3" t="str">
        <f t="shared" si="1"/>
        <v>High Income</v>
      </c>
    </row>
    <row r="121" spans="1:11" x14ac:dyDescent="0.35">
      <c r="A121" s="4">
        <v>120</v>
      </c>
      <c r="B121" s="3" t="s">
        <v>143</v>
      </c>
      <c r="C121" s="3" t="s">
        <v>11</v>
      </c>
      <c r="D121" s="3" t="s">
        <v>18</v>
      </c>
      <c r="E121" s="3">
        <v>41725</v>
      </c>
      <c r="F121" s="3">
        <v>92469</v>
      </c>
      <c r="G121" s="3" t="s">
        <v>13</v>
      </c>
      <c r="H121" s="3" t="s">
        <v>19</v>
      </c>
      <c r="I121" s="3">
        <v>403</v>
      </c>
      <c r="J121" s="5" t="s">
        <v>15</v>
      </c>
      <c r="K121" s="3" t="str">
        <f t="shared" si="1"/>
        <v>Low Income</v>
      </c>
    </row>
    <row r="122" spans="1:11" x14ac:dyDescent="0.35">
      <c r="A122" s="4">
        <v>121</v>
      </c>
      <c r="B122" s="3" t="s">
        <v>144</v>
      </c>
      <c r="C122" s="3" t="s">
        <v>11</v>
      </c>
      <c r="D122" s="3" t="s">
        <v>12</v>
      </c>
      <c r="E122" s="3">
        <v>85909</v>
      </c>
      <c r="F122" s="3">
        <v>313335</v>
      </c>
      <c r="G122" s="3" t="s">
        <v>13</v>
      </c>
      <c r="H122" s="3" t="s">
        <v>23</v>
      </c>
      <c r="I122" s="3">
        <v>692</v>
      </c>
      <c r="J122" s="5" t="s">
        <v>32</v>
      </c>
      <c r="K122" s="3" t="str">
        <f t="shared" si="1"/>
        <v>High Income</v>
      </c>
    </row>
    <row r="123" spans="1:11" x14ac:dyDescent="0.35">
      <c r="A123" s="4">
        <v>122</v>
      </c>
      <c r="B123" s="3" t="s">
        <v>145</v>
      </c>
      <c r="C123" s="3" t="s">
        <v>17</v>
      </c>
      <c r="D123" s="3" t="s">
        <v>18</v>
      </c>
      <c r="E123" s="3">
        <v>116314</v>
      </c>
      <c r="F123" s="3">
        <v>249906</v>
      </c>
      <c r="G123" s="3" t="s">
        <v>22</v>
      </c>
      <c r="H123" s="3" t="s">
        <v>19</v>
      </c>
      <c r="I123" s="3">
        <v>700</v>
      </c>
      <c r="J123" s="5" t="s">
        <v>15</v>
      </c>
      <c r="K123" s="3" t="str">
        <f t="shared" si="1"/>
        <v>High Income</v>
      </c>
    </row>
    <row r="124" spans="1:11" x14ac:dyDescent="0.35">
      <c r="A124" s="4">
        <v>123</v>
      </c>
      <c r="B124" s="3" t="s">
        <v>146</v>
      </c>
      <c r="C124" s="3" t="s">
        <v>17</v>
      </c>
      <c r="D124" s="3" t="s">
        <v>21</v>
      </c>
      <c r="E124" s="3">
        <v>36648</v>
      </c>
      <c r="F124" s="3">
        <v>372393</v>
      </c>
      <c r="G124" s="3" t="s">
        <v>13</v>
      </c>
      <c r="H124" s="3" t="s">
        <v>19</v>
      </c>
      <c r="I124" s="3">
        <v>847</v>
      </c>
      <c r="J124" s="5" t="s">
        <v>24</v>
      </c>
      <c r="K124" s="3" t="str">
        <f t="shared" si="1"/>
        <v>Low Income</v>
      </c>
    </row>
    <row r="125" spans="1:11" x14ac:dyDescent="0.35">
      <c r="A125" s="4">
        <v>124</v>
      </c>
      <c r="B125" s="3" t="s">
        <v>147</v>
      </c>
      <c r="C125" s="3" t="s">
        <v>17</v>
      </c>
      <c r="D125" s="3" t="s">
        <v>21</v>
      </c>
      <c r="E125" s="3">
        <v>41891</v>
      </c>
      <c r="F125" s="3">
        <v>448671</v>
      </c>
      <c r="G125" s="3" t="s">
        <v>13</v>
      </c>
      <c r="H125" s="3" t="s">
        <v>26</v>
      </c>
      <c r="I125" s="3">
        <v>876</v>
      </c>
      <c r="J125" s="5" t="s">
        <v>15</v>
      </c>
      <c r="K125" s="3" t="str">
        <f t="shared" si="1"/>
        <v>Low Income</v>
      </c>
    </row>
    <row r="126" spans="1:11" x14ac:dyDescent="0.35">
      <c r="A126" s="4">
        <v>125</v>
      </c>
      <c r="B126" s="3" t="s">
        <v>148</v>
      </c>
      <c r="C126" s="3" t="s">
        <v>17</v>
      </c>
      <c r="D126" s="3" t="s">
        <v>18</v>
      </c>
      <c r="E126" s="3">
        <v>115847</v>
      </c>
      <c r="F126" s="3">
        <v>431149</v>
      </c>
      <c r="G126" s="3" t="s">
        <v>13</v>
      </c>
      <c r="H126" s="3" t="s">
        <v>14</v>
      </c>
      <c r="I126" s="3">
        <v>496</v>
      </c>
      <c r="J126" s="5" t="s">
        <v>24</v>
      </c>
      <c r="K126" s="3" t="str">
        <f t="shared" si="1"/>
        <v>High Income</v>
      </c>
    </row>
    <row r="127" spans="1:11" x14ac:dyDescent="0.35">
      <c r="A127" s="4">
        <v>126</v>
      </c>
      <c r="B127" s="3" t="s">
        <v>149</v>
      </c>
      <c r="C127" s="3" t="s">
        <v>17</v>
      </c>
      <c r="D127" s="3" t="s">
        <v>21</v>
      </c>
      <c r="E127" s="3">
        <v>53589</v>
      </c>
      <c r="F127" s="3">
        <v>206639</v>
      </c>
      <c r="G127" s="3" t="s">
        <v>22</v>
      </c>
      <c r="H127" s="3" t="s">
        <v>23</v>
      </c>
      <c r="I127" s="3">
        <v>665</v>
      </c>
      <c r="J127" s="5" t="s">
        <v>32</v>
      </c>
      <c r="K127" s="3" t="str">
        <f t="shared" si="1"/>
        <v>Medium Income</v>
      </c>
    </row>
    <row r="128" spans="1:11" x14ac:dyDescent="0.35">
      <c r="A128" s="4">
        <v>127</v>
      </c>
      <c r="B128" s="3" t="s">
        <v>150</v>
      </c>
      <c r="C128" s="3" t="s">
        <v>11</v>
      </c>
      <c r="D128" s="3" t="s">
        <v>18</v>
      </c>
      <c r="E128" s="3">
        <v>79113</v>
      </c>
      <c r="F128" s="3">
        <v>301194</v>
      </c>
      <c r="G128" s="3" t="s">
        <v>22</v>
      </c>
      <c r="H128" s="3" t="s">
        <v>23</v>
      </c>
      <c r="I128" s="3">
        <v>698</v>
      </c>
      <c r="J128" s="5" t="s">
        <v>32</v>
      </c>
      <c r="K128" s="3" t="str">
        <f t="shared" si="1"/>
        <v>Medium Income</v>
      </c>
    </row>
    <row r="129" spans="1:11" x14ac:dyDescent="0.35">
      <c r="A129" s="4">
        <v>128</v>
      </c>
      <c r="B129" s="3" t="s">
        <v>151</v>
      </c>
      <c r="C129" s="3" t="s">
        <v>17</v>
      </c>
      <c r="D129" s="3" t="s">
        <v>12</v>
      </c>
      <c r="E129" s="3">
        <v>30834</v>
      </c>
      <c r="F129" s="3">
        <v>451940</v>
      </c>
      <c r="G129" s="3" t="s">
        <v>13</v>
      </c>
      <c r="H129" s="3" t="s">
        <v>14</v>
      </c>
      <c r="I129" s="3">
        <v>794</v>
      </c>
      <c r="J129" s="5" t="s">
        <v>32</v>
      </c>
      <c r="K129" s="3" t="str">
        <f t="shared" si="1"/>
        <v>Low Income</v>
      </c>
    </row>
    <row r="130" spans="1:11" x14ac:dyDescent="0.35">
      <c r="A130" s="4">
        <v>129</v>
      </c>
      <c r="B130" s="3" t="s">
        <v>152</v>
      </c>
      <c r="C130" s="3" t="s">
        <v>17</v>
      </c>
      <c r="D130" s="3" t="s">
        <v>18</v>
      </c>
      <c r="E130" s="3">
        <v>72043</v>
      </c>
      <c r="F130" s="3">
        <v>118719</v>
      </c>
      <c r="G130" s="3" t="s">
        <v>22</v>
      </c>
      <c r="H130" s="3" t="s">
        <v>14</v>
      </c>
      <c r="I130" s="3">
        <v>671</v>
      </c>
      <c r="J130" s="5" t="s">
        <v>32</v>
      </c>
      <c r="K130" s="3" t="str">
        <f t="shared" ref="K130:K193" si="2">IF(E130&gt;80000,"High Income",IF(E130&gt;=50000,"Medium Income","Low Income"))</f>
        <v>Medium Income</v>
      </c>
    </row>
    <row r="131" spans="1:11" x14ac:dyDescent="0.35">
      <c r="A131" s="4">
        <v>130</v>
      </c>
      <c r="B131" s="3" t="s">
        <v>153</v>
      </c>
      <c r="C131" s="3" t="s">
        <v>17</v>
      </c>
      <c r="D131" s="3" t="s">
        <v>18</v>
      </c>
      <c r="E131" s="3">
        <v>34673</v>
      </c>
      <c r="F131" s="3">
        <v>277943</v>
      </c>
      <c r="G131" s="3" t="s">
        <v>22</v>
      </c>
      <c r="H131" s="3" t="s">
        <v>26</v>
      </c>
      <c r="I131" s="3">
        <v>627</v>
      </c>
      <c r="J131" s="5" t="s">
        <v>24</v>
      </c>
      <c r="K131" s="3" t="str">
        <f t="shared" si="2"/>
        <v>Low Income</v>
      </c>
    </row>
    <row r="132" spans="1:11" x14ac:dyDescent="0.35">
      <c r="A132" s="4">
        <v>131</v>
      </c>
      <c r="B132" s="3" t="s">
        <v>154</v>
      </c>
      <c r="C132" s="3" t="s">
        <v>11</v>
      </c>
      <c r="D132" s="3" t="s">
        <v>21</v>
      </c>
      <c r="E132" s="3">
        <v>95428</v>
      </c>
      <c r="F132" s="3">
        <v>340536</v>
      </c>
      <c r="G132" s="3" t="s">
        <v>22</v>
      </c>
      <c r="H132" s="3" t="s">
        <v>14</v>
      </c>
      <c r="I132" s="3">
        <v>798</v>
      </c>
      <c r="J132" s="5" t="s">
        <v>15</v>
      </c>
      <c r="K132" s="3" t="str">
        <f t="shared" si="2"/>
        <v>High Income</v>
      </c>
    </row>
    <row r="133" spans="1:11" x14ac:dyDescent="0.35">
      <c r="A133" s="4">
        <v>132</v>
      </c>
      <c r="B133" s="3" t="s">
        <v>155</v>
      </c>
      <c r="C133" s="3" t="s">
        <v>17</v>
      </c>
      <c r="D133" s="3" t="s">
        <v>21</v>
      </c>
      <c r="E133" s="3">
        <v>112234</v>
      </c>
      <c r="F133" s="3">
        <v>39424</v>
      </c>
      <c r="G133" s="3" t="s">
        <v>22</v>
      </c>
      <c r="H133" s="3" t="s">
        <v>19</v>
      </c>
      <c r="I133" s="3">
        <v>723</v>
      </c>
      <c r="J133" s="5" t="s">
        <v>32</v>
      </c>
      <c r="K133" s="3" t="str">
        <f t="shared" si="2"/>
        <v>High Income</v>
      </c>
    </row>
    <row r="134" spans="1:11" x14ac:dyDescent="0.35">
      <c r="A134" s="4">
        <v>133</v>
      </c>
      <c r="B134" s="3" t="s">
        <v>156</v>
      </c>
      <c r="C134" s="3" t="s">
        <v>11</v>
      </c>
      <c r="D134" s="3" t="s">
        <v>21</v>
      </c>
      <c r="E134" s="3">
        <v>90128</v>
      </c>
      <c r="F134" s="3">
        <v>275061</v>
      </c>
      <c r="G134" s="3" t="s">
        <v>22</v>
      </c>
      <c r="H134" s="3" t="s">
        <v>19</v>
      </c>
      <c r="I134" s="3">
        <v>637</v>
      </c>
      <c r="J134" s="5" t="s">
        <v>15</v>
      </c>
      <c r="K134" s="3" t="str">
        <f t="shared" si="2"/>
        <v>High Income</v>
      </c>
    </row>
    <row r="135" spans="1:11" x14ac:dyDescent="0.35">
      <c r="A135" s="4">
        <v>134</v>
      </c>
      <c r="B135" s="3" t="s">
        <v>157</v>
      </c>
      <c r="C135" s="3" t="s">
        <v>11</v>
      </c>
      <c r="D135" s="3" t="s">
        <v>21</v>
      </c>
      <c r="E135" s="3">
        <v>41494</v>
      </c>
      <c r="F135" s="3">
        <v>108609</v>
      </c>
      <c r="G135" s="3" t="s">
        <v>13</v>
      </c>
      <c r="H135" s="3" t="s">
        <v>23</v>
      </c>
      <c r="I135" s="3">
        <v>678</v>
      </c>
      <c r="J135" s="5" t="s">
        <v>32</v>
      </c>
      <c r="K135" s="3" t="str">
        <f t="shared" si="2"/>
        <v>Low Income</v>
      </c>
    </row>
    <row r="136" spans="1:11" x14ac:dyDescent="0.35">
      <c r="A136" s="4">
        <v>135</v>
      </c>
      <c r="B136" s="3" t="s">
        <v>158</v>
      </c>
      <c r="C136" s="3" t="s">
        <v>11</v>
      </c>
      <c r="D136" s="3" t="s">
        <v>18</v>
      </c>
      <c r="E136" s="3">
        <v>26697</v>
      </c>
      <c r="F136" s="3">
        <v>132887</v>
      </c>
      <c r="G136" s="3" t="s">
        <v>22</v>
      </c>
      <c r="H136" s="3" t="s">
        <v>19</v>
      </c>
      <c r="I136" s="3">
        <v>327</v>
      </c>
      <c r="J136" s="5" t="s">
        <v>32</v>
      </c>
      <c r="K136" s="3" t="str">
        <f t="shared" si="2"/>
        <v>Low Income</v>
      </c>
    </row>
    <row r="137" spans="1:11" x14ac:dyDescent="0.35">
      <c r="A137" s="4">
        <v>136</v>
      </c>
      <c r="B137" s="3" t="s">
        <v>159</v>
      </c>
      <c r="C137" s="3" t="s">
        <v>17</v>
      </c>
      <c r="D137" s="3" t="s">
        <v>18</v>
      </c>
      <c r="E137" s="3">
        <v>57914</v>
      </c>
      <c r="F137" s="3">
        <v>63395</v>
      </c>
      <c r="G137" s="3" t="s">
        <v>13</v>
      </c>
      <c r="H137" s="3" t="s">
        <v>23</v>
      </c>
      <c r="I137" s="3">
        <v>791</v>
      </c>
      <c r="J137" s="5" t="s">
        <v>32</v>
      </c>
      <c r="K137" s="3" t="str">
        <f t="shared" si="2"/>
        <v>Medium Income</v>
      </c>
    </row>
    <row r="138" spans="1:11" x14ac:dyDescent="0.35">
      <c r="A138" s="4">
        <v>137</v>
      </c>
      <c r="B138" s="3" t="s">
        <v>160</v>
      </c>
      <c r="C138" s="3" t="s">
        <v>11</v>
      </c>
      <c r="D138" s="3" t="s">
        <v>18</v>
      </c>
      <c r="E138" s="3">
        <v>59671</v>
      </c>
      <c r="F138" s="3">
        <v>206485</v>
      </c>
      <c r="G138" s="3" t="s">
        <v>13</v>
      </c>
      <c r="H138" s="3" t="s">
        <v>26</v>
      </c>
      <c r="I138" s="3">
        <v>707</v>
      </c>
      <c r="J138" s="5" t="s">
        <v>24</v>
      </c>
      <c r="K138" s="3" t="str">
        <f t="shared" si="2"/>
        <v>Medium Income</v>
      </c>
    </row>
    <row r="139" spans="1:11" x14ac:dyDescent="0.35">
      <c r="A139" s="4">
        <v>138</v>
      </c>
      <c r="B139" s="3" t="s">
        <v>161</v>
      </c>
      <c r="C139" s="3" t="s">
        <v>11</v>
      </c>
      <c r="D139" s="3" t="s">
        <v>12</v>
      </c>
      <c r="E139" s="3">
        <v>59121</v>
      </c>
      <c r="F139" s="3">
        <v>293103</v>
      </c>
      <c r="G139" s="3" t="s">
        <v>13</v>
      </c>
      <c r="H139" s="3" t="s">
        <v>14</v>
      </c>
      <c r="I139" s="3">
        <v>442</v>
      </c>
      <c r="J139" s="5" t="s">
        <v>24</v>
      </c>
      <c r="K139" s="3" t="str">
        <f t="shared" si="2"/>
        <v>Medium Income</v>
      </c>
    </row>
    <row r="140" spans="1:11" x14ac:dyDescent="0.35">
      <c r="A140" s="4">
        <v>139</v>
      </c>
      <c r="B140" s="3" t="s">
        <v>162</v>
      </c>
      <c r="C140" s="3" t="s">
        <v>11</v>
      </c>
      <c r="D140" s="3" t="s">
        <v>18</v>
      </c>
      <c r="E140" s="3">
        <v>43662</v>
      </c>
      <c r="F140" s="3">
        <v>273219</v>
      </c>
      <c r="G140" s="3" t="s">
        <v>22</v>
      </c>
      <c r="H140" s="3" t="s">
        <v>19</v>
      </c>
      <c r="I140" s="3">
        <v>563</v>
      </c>
      <c r="J140" s="5" t="s">
        <v>32</v>
      </c>
      <c r="K140" s="3" t="str">
        <f t="shared" si="2"/>
        <v>Low Income</v>
      </c>
    </row>
    <row r="141" spans="1:11" x14ac:dyDescent="0.35">
      <c r="A141" s="4">
        <v>140</v>
      </c>
      <c r="B141" s="3" t="s">
        <v>163</v>
      </c>
      <c r="C141" s="3" t="s">
        <v>17</v>
      </c>
      <c r="D141" s="3" t="s">
        <v>12</v>
      </c>
      <c r="E141" s="3">
        <v>109872</v>
      </c>
      <c r="F141" s="3">
        <v>126381</v>
      </c>
      <c r="G141" s="3" t="s">
        <v>22</v>
      </c>
      <c r="H141" s="3" t="s">
        <v>26</v>
      </c>
      <c r="I141" s="3">
        <v>795</v>
      </c>
      <c r="J141" s="5" t="s">
        <v>32</v>
      </c>
      <c r="K141" s="3" t="str">
        <f t="shared" si="2"/>
        <v>High Income</v>
      </c>
    </row>
    <row r="142" spans="1:11" x14ac:dyDescent="0.35">
      <c r="A142" s="4">
        <v>141</v>
      </c>
      <c r="B142" s="3" t="s">
        <v>164</v>
      </c>
      <c r="C142" s="3" t="s">
        <v>17</v>
      </c>
      <c r="D142" s="3" t="s">
        <v>12</v>
      </c>
      <c r="E142" s="3">
        <v>100695</v>
      </c>
      <c r="F142" s="3">
        <v>412280</v>
      </c>
      <c r="G142" s="3" t="s">
        <v>13</v>
      </c>
      <c r="H142" s="3" t="s">
        <v>26</v>
      </c>
      <c r="I142" s="3">
        <v>703</v>
      </c>
      <c r="J142" s="5" t="s">
        <v>15</v>
      </c>
      <c r="K142" s="3" t="str">
        <f t="shared" si="2"/>
        <v>High Income</v>
      </c>
    </row>
    <row r="143" spans="1:11" x14ac:dyDescent="0.35">
      <c r="A143" s="4">
        <v>142</v>
      </c>
      <c r="B143" s="3" t="s">
        <v>165</v>
      </c>
      <c r="C143" s="3" t="s">
        <v>17</v>
      </c>
      <c r="D143" s="3" t="s">
        <v>21</v>
      </c>
      <c r="E143" s="3">
        <v>42924</v>
      </c>
      <c r="F143" s="3">
        <v>194214</v>
      </c>
      <c r="G143" s="3" t="s">
        <v>22</v>
      </c>
      <c r="H143" s="3" t="s">
        <v>14</v>
      </c>
      <c r="I143" s="3">
        <v>768</v>
      </c>
      <c r="J143" s="5" t="s">
        <v>15</v>
      </c>
      <c r="K143" s="3" t="str">
        <f t="shared" si="2"/>
        <v>Low Income</v>
      </c>
    </row>
    <row r="144" spans="1:11" x14ac:dyDescent="0.35">
      <c r="A144" s="4">
        <v>143</v>
      </c>
      <c r="B144" s="3" t="s">
        <v>166</v>
      </c>
      <c r="C144" s="3" t="s">
        <v>11</v>
      </c>
      <c r="D144" s="3" t="s">
        <v>12</v>
      </c>
      <c r="E144" s="3">
        <v>49265</v>
      </c>
      <c r="F144" s="3">
        <v>50421</v>
      </c>
      <c r="G144" s="3" t="s">
        <v>13</v>
      </c>
      <c r="H144" s="3" t="s">
        <v>26</v>
      </c>
      <c r="I144" s="3">
        <v>375</v>
      </c>
      <c r="J144" s="5" t="s">
        <v>24</v>
      </c>
      <c r="K144" s="3" t="str">
        <f t="shared" si="2"/>
        <v>Low Income</v>
      </c>
    </row>
    <row r="145" spans="1:11" x14ac:dyDescent="0.35">
      <c r="A145" s="4">
        <v>144</v>
      </c>
      <c r="B145" s="3" t="s">
        <v>167</v>
      </c>
      <c r="C145" s="3" t="s">
        <v>11</v>
      </c>
      <c r="D145" s="3" t="s">
        <v>12</v>
      </c>
      <c r="E145" s="3">
        <v>44243</v>
      </c>
      <c r="F145" s="3">
        <v>490790</v>
      </c>
      <c r="G145" s="3" t="s">
        <v>13</v>
      </c>
      <c r="H145" s="3" t="s">
        <v>14</v>
      </c>
      <c r="I145" s="3">
        <v>666</v>
      </c>
      <c r="J145" s="5" t="s">
        <v>32</v>
      </c>
      <c r="K145" s="3" t="str">
        <f t="shared" si="2"/>
        <v>Low Income</v>
      </c>
    </row>
    <row r="146" spans="1:11" x14ac:dyDescent="0.35">
      <c r="A146" s="4">
        <v>145</v>
      </c>
      <c r="B146" s="3" t="s">
        <v>168</v>
      </c>
      <c r="C146" s="3" t="s">
        <v>11</v>
      </c>
      <c r="D146" s="3" t="s">
        <v>21</v>
      </c>
      <c r="E146" s="3">
        <v>29369</v>
      </c>
      <c r="F146" s="3">
        <v>140179</v>
      </c>
      <c r="G146" s="3" t="s">
        <v>22</v>
      </c>
      <c r="H146" s="3" t="s">
        <v>19</v>
      </c>
      <c r="I146" s="3">
        <v>815</v>
      </c>
      <c r="J146" s="5" t="s">
        <v>32</v>
      </c>
      <c r="K146" s="3" t="str">
        <f t="shared" si="2"/>
        <v>Low Income</v>
      </c>
    </row>
    <row r="147" spans="1:11" x14ac:dyDescent="0.35">
      <c r="A147" s="4">
        <v>146</v>
      </c>
      <c r="B147" s="3" t="s">
        <v>169</v>
      </c>
      <c r="C147" s="3" t="s">
        <v>11</v>
      </c>
      <c r="D147" s="3" t="s">
        <v>12</v>
      </c>
      <c r="E147" s="3">
        <v>72954</v>
      </c>
      <c r="F147" s="3">
        <v>193772</v>
      </c>
      <c r="G147" s="3" t="s">
        <v>22</v>
      </c>
      <c r="H147" s="3" t="s">
        <v>19</v>
      </c>
      <c r="I147" s="3">
        <v>547</v>
      </c>
      <c r="J147" s="5" t="s">
        <v>24</v>
      </c>
      <c r="K147" s="3" t="str">
        <f t="shared" si="2"/>
        <v>Medium Income</v>
      </c>
    </row>
    <row r="148" spans="1:11" x14ac:dyDescent="0.35">
      <c r="A148" s="4">
        <v>147</v>
      </c>
      <c r="B148" s="3" t="s">
        <v>170</v>
      </c>
      <c r="C148" s="3" t="s">
        <v>17</v>
      </c>
      <c r="D148" s="3" t="s">
        <v>12</v>
      </c>
      <c r="E148" s="3">
        <v>22872</v>
      </c>
      <c r="F148" s="3">
        <v>31389</v>
      </c>
      <c r="G148" s="3" t="s">
        <v>22</v>
      </c>
      <c r="H148" s="3" t="s">
        <v>14</v>
      </c>
      <c r="I148" s="3">
        <v>627</v>
      </c>
      <c r="J148" s="5" t="s">
        <v>32</v>
      </c>
      <c r="K148" s="3" t="str">
        <f t="shared" si="2"/>
        <v>Low Income</v>
      </c>
    </row>
    <row r="149" spans="1:11" x14ac:dyDescent="0.35">
      <c r="A149" s="4">
        <v>148</v>
      </c>
      <c r="B149" s="3" t="s">
        <v>171</v>
      </c>
      <c r="C149" s="3" t="s">
        <v>11</v>
      </c>
      <c r="D149" s="3" t="s">
        <v>21</v>
      </c>
      <c r="E149" s="3">
        <v>112279</v>
      </c>
      <c r="F149" s="3">
        <v>146356</v>
      </c>
      <c r="G149" s="3" t="s">
        <v>22</v>
      </c>
      <c r="H149" s="3" t="s">
        <v>26</v>
      </c>
      <c r="I149" s="3">
        <v>833</v>
      </c>
      <c r="J149" s="5" t="s">
        <v>32</v>
      </c>
      <c r="K149" s="3" t="str">
        <f t="shared" si="2"/>
        <v>High Income</v>
      </c>
    </row>
    <row r="150" spans="1:11" x14ac:dyDescent="0.35">
      <c r="A150" s="4">
        <v>149</v>
      </c>
      <c r="B150" s="3" t="s">
        <v>172</v>
      </c>
      <c r="C150" s="3" t="s">
        <v>17</v>
      </c>
      <c r="D150" s="3" t="s">
        <v>12</v>
      </c>
      <c r="E150" s="3">
        <v>104542</v>
      </c>
      <c r="F150" s="3">
        <v>24205</v>
      </c>
      <c r="G150" s="3" t="s">
        <v>13</v>
      </c>
      <c r="H150" s="3" t="s">
        <v>14</v>
      </c>
      <c r="I150" s="3">
        <v>659</v>
      </c>
      <c r="J150" s="5" t="s">
        <v>15</v>
      </c>
      <c r="K150" s="3" t="str">
        <f t="shared" si="2"/>
        <v>High Income</v>
      </c>
    </row>
    <row r="151" spans="1:11" x14ac:dyDescent="0.35">
      <c r="A151" s="4">
        <v>150</v>
      </c>
      <c r="B151" s="3" t="s">
        <v>173</v>
      </c>
      <c r="C151" s="3" t="s">
        <v>11</v>
      </c>
      <c r="D151" s="3" t="s">
        <v>18</v>
      </c>
      <c r="E151" s="3">
        <v>102047</v>
      </c>
      <c r="F151" s="3">
        <v>382255</v>
      </c>
      <c r="G151" s="3" t="s">
        <v>13</v>
      </c>
      <c r="H151" s="3" t="s">
        <v>19</v>
      </c>
      <c r="I151" s="3">
        <v>829</v>
      </c>
      <c r="J151" s="5" t="s">
        <v>24</v>
      </c>
      <c r="K151" s="3" t="str">
        <f t="shared" si="2"/>
        <v>High Income</v>
      </c>
    </row>
    <row r="152" spans="1:11" x14ac:dyDescent="0.35">
      <c r="A152" s="4">
        <v>151</v>
      </c>
      <c r="B152" s="3" t="s">
        <v>174</v>
      </c>
      <c r="C152" s="3" t="s">
        <v>11</v>
      </c>
      <c r="D152" s="3" t="s">
        <v>18</v>
      </c>
      <c r="E152" s="3">
        <v>86344</v>
      </c>
      <c r="F152" s="3">
        <v>60297</v>
      </c>
      <c r="G152" s="3" t="s">
        <v>22</v>
      </c>
      <c r="H152" s="3" t="s">
        <v>19</v>
      </c>
      <c r="I152" s="3">
        <v>613</v>
      </c>
      <c r="J152" s="5" t="s">
        <v>32</v>
      </c>
      <c r="K152" s="3" t="str">
        <f t="shared" si="2"/>
        <v>High Income</v>
      </c>
    </row>
    <row r="153" spans="1:11" x14ac:dyDescent="0.35">
      <c r="A153" s="4">
        <v>152</v>
      </c>
      <c r="B153" s="3" t="s">
        <v>175</v>
      </c>
      <c r="C153" s="3" t="s">
        <v>17</v>
      </c>
      <c r="D153" s="3" t="s">
        <v>18</v>
      </c>
      <c r="E153" s="3">
        <v>37683</v>
      </c>
      <c r="F153" s="3">
        <v>493894</v>
      </c>
      <c r="G153" s="3" t="s">
        <v>13</v>
      </c>
      <c r="H153" s="3" t="s">
        <v>23</v>
      </c>
      <c r="I153" s="3">
        <v>321</v>
      </c>
      <c r="J153" s="5" t="s">
        <v>32</v>
      </c>
      <c r="K153" s="3" t="str">
        <f t="shared" si="2"/>
        <v>Low Income</v>
      </c>
    </row>
    <row r="154" spans="1:11" x14ac:dyDescent="0.35">
      <c r="A154" s="4">
        <v>153</v>
      </c>
      <c r="B154" s="3" t="s">
        <v>176</v>
      </c>
      <c r="C154" s="3" t="s">
        <v>17</v>
      </c>
      <c r="D154" s="3" t="s">
        <v>21</v>
      </c>
      <c r="E154" s="3">
        <v>114436</v>
      </c>
      <c r="F154" s="3">
        <v>203806</v>
      </c>
      <c r="G154" s="3" t="s">
        <v>22</v>
      </c>
      <c r="H154" s="3" t="s">
        <v>14</v>
      </c>
      <c r="I154" s="3">
        <v>537</v>
      </c>
      <c r="J154" s="5" t="s">
        <v>24</v>
      </c>
      <c r="K154" s="3" t="str">
        <f t="shared" si="2"/>
        <v>High Income</v>
      </c>
    </row>
    <row r="155" spans="1:11" x14ac:dyDescent="0.35">
      <c r="A155" s="4">
        <v>154</v>
      </c>
      <c r="B155" s="3" t="s">
        <v>177</v>
      </c>
      <c r="C155" s="3" t="s">
        <v>17</v>
      </c>
      <c r="D155" s="3" t="s">
        <v>12</v>
      </c>
      <c r="E155" s="3">
        <v>60057</v>
      </c>
      <c r="F155" s="3">
        <v>444971</v>
      </c>
      <c r="G155" s="3" t="s">
        <v>13</v>
      </c>
      <c r="H155" s="3" t="s">
        <v>26</v>
      </c>
      <c r="I155" s="3">
        <v>694</v>
      </c>
      <c r="J155" s="5" t="s">
        <v>32</v>
      </c>
      <c r="K155" s="3" t="str">
        <f t="shared" si="2"/>
        <v>Medium Income</v>
      </c>
    </row>
    <row r="156" spans="1:11" x14ac:dyDescent="0.35">
      <c r="A156" s="4">
        <v>155</v>
      </c>
      <c r="B156" s="3" t="s">
        <v>178</v>
      </c>
      <c r="C156" s="3" t="s">
        <v>11</v>
      </c>
      <c r="D156" s="3" t="s">
        <v>12</v>
      </c>
      <c r="E156" s="3">
        <v>106295</v>
      </c>
      <c r="F156" s="3">
        <v>8934</v>
      </c>
      <c r="G156" s="3" t="s">
        <v>22</v>
      </c>
      <c r="H156" s="3" t="s">
        <v>19</v>
      </c>
      <c r="I156" s="3">
        <v>508</v>
      </c>
      <c r="J156" s="5" t="s">
        <v>24</v>
      </c>
      <c r="K156" s="3" t="str">
        <f t="shared" si="2"/>
        <v>High Income</v>
      </c>
    </row>
    <row r="157" spans="1:11" x14ac:dyDescent="0.35">
      <c r="A157" s="4">
        <v>156</v>
      </c>
      <c r="B157" s="3" t="s">
        <v>179</v>
      </c>
      <c r="C157" s="3" t="s">
        <v>17</v>
      </c>
      <c r="D157" s="3" t="s">
        <v>18</v>
      </c>
      <c r="E157" s="3">
        <v>105365</v>
      </c>
      <c r="F157" s="3">
        <v>130041</v>
      </c>
      <c r="G157" s="3" t="s">
        <v>13</v>
      </c>
      <c r="H157" s="3" t="s">
        <v>14</v>
      </c>
      <c r="I157" s="3">
        <v>510</v>
      </c>
      <c r="J157" s="5" t="s">
        <v>24</v>
      </c>
      <c r="K157" s="3" t="str">
        <f t="shared" si="2"/>
        <v>High Income</v>
      </c>
    </row>
    <row r="158" spans="1:11" x14ac:dyDescent="0.35">
      <c r="A158" s="4">
        <v>157</v>
      </c>
      <c r="B158" s="3" t="s">
        <v>180</v>
      </c>
      <c r="C158" s="3" t="s">
        <v>17</v>
      </c>
      <c r="D158" s="3" t="s">
        <v>18</v>
      </c>
      <c r="E158" s="3">
        <v>77910</v>
      </c>
      <c r="F158" s="3">
        <v>201706</v>
      </c>
      <c r="G158" s="3" t="s">
        <v>22</v>
      </c>
      <c r="H158" s="3" t="s">
        <v>26</v>
      </c>
      <c r="I158" s="3">
        <v>898</v>
      </c>
      <c r="J158" s="5" t="s">
        <v>15</v>
      </c>
      <c r="K158" s="3" t="str">
        <f t="shared" si="2"/>
        <v>Medium Income</v>
      </c>
    </row>
    <row r="159" spans="1:11" x14ac:dyDescent="0.35">
      <c r="A159" s="4">
        <v>158</v>
      </c>
      <c r="B159" s="3" t="s">
        <v>181</v>
      </c>
      <c r="C159" s="3" t="s">
        <v>17</v>
      </c>
      <c r="D159" s="3" t="s">
        <v>21</v>
      </c>
      <c r="E159" s="3">
        <v>28038</v>
      </c>
      <c r="F159" s="3">
        <v>424021</v>
      </c>
      <c r="G159" s="3" t="s">
        <v>22</v>
      </c>
      <c r="H159" s="3" t="s">
        <v>19</v>
      </c>
      <c r="I159" s="3">
        <v>659</v>
      </c>
      <c r="J159" s="5" t="s">
        <v>32</v>
      </c>
      <c r="K159" s="3" t="str">
        <f t="shared" si="2"/>
        <v>Low Income</v>
      </c>
    </row>
    <row r="160" spans="1:11" x14ac:dyDescent="0.35">
      <c r="A160" s="4">
        <v>159</v>
      </c>
      <c r="B160" s="3" t="s">
        <v>182</v>
      </c>
      <c r="C160" s="3" t="s">
        <v>11</v>
      </c>
      <c r="D160" s="3" t="s">
        <v>12</v>
      </c>
      <c r="E160" s="3">
        <v>61218</v>
      </c>
      <c r="F160" s="3">
        <v>6175</v>
      </c>
      <c r="G160" s="3" t="s">
        <v>13</v>
      </c>
      <c r="H160" s="3" t="s">
        <v>14</v>
      </c>
      <c r="I160" s="3">
        <v>321</v>
      </c>
      <c r="J160" s="5" t="s">
        <v>32</v>
      </c>
      <c r="K160" s="3" t="str">
        <f t="shared" si="2"/>
        <v>Medium Income</v>
      </c>
    </row>
    <row r="161" spans="1:11" x14ac:dyDescent="0.35">
      <c r="A161" s="4">
        <v>160</v>
      </c>
      <c r="B161" s="3" t="s">
        <v>183</v>
      </c>
      <c r="C161" s="3" t="s">
        <v>17</v>
      </c>
      <c r="D161" s="3" t="s">
        <v>21</v>
      </c>
      <c r="E161" s="3">
        <v>104634</v>
      </c>
      <c r="F161" s="3">
        <v>287012</v>
      </c>
      <c r="G161" s="3" t="s">
        <v>22</v>
      </c>
      <c r="H161" s="3" t="s">
        <v>14</v>
      </c>
      <c r="I161" s="3">
        <v>505</v>
      </c>
      <c r="J161" s="5" t="s">
        <v>15</v>
      </c>
      <c r="K161" s="3" t="str">
        <f t="shared" si="2"/>
        <v>High Income</v>
      </c>
    </row>
    <row r="162" spans="1:11" x14ac:dyDescent="0.35">
      <c r="A162" s="4">
        <v>161</v>
      </c>
      <c r="B162" s="3" t="s">
        <v>184</v>
      </c>
      <c r="C162" s="3" t="s">
        <v>11</v>
      </c>
      <c r="D162" s="3" t="s">
        <v>12</v>
      </c>
      <c r="E162" s="3">
        <v>23703</v>
      </c>
      <c r="F162" s="3">
        <v>120081</v>
      </c>
      <c r="G162" s="3" t="s">
        <v>13</v>
      </c>
      <c r="H162" s="3" t="s">
        <v>14</v>
      </c>
      <c r="I162" s="3">
        <v>535</v>
      </c>
      <c r="J162" s="5" t="s">
        <v>32</v>
      </c>
      <c r="K162" s="3" t="str">
        <f t="shared" si="2"/>
        <v>Low Income</v>
      </c>
    </row>
    <row r="163" spans="1:11" x14ac:dyDescent="0.35">
      <c r="A163" s="4">
        <v>162</v>
      </c>
      <c r="B163" s="3" t="s">
        <v>185</v>
      </c>
      <c r="C163" s="3" t="s">
        <v>17</v>
      </c>
      <c r="D163" s="3" t="s">
        <v>12</v>
      </c>
      <c r="E163" s="3">
        <v>55402</v>
      </c>
      <c r="F163" s="3">
        <v>258497</v>
      </c>
      <c r="G163" s="3" t="s">
        <v>13</v>
      </c>
      <c r="H163" s="3" t="s">
        <v>19</v>
      </c>
      <c r="I163" s="3">
        <v>879</v>
      </c>
      <c r="J163" s="5" t="s">
        <v>32</v>
      </c>
      <c r="K163" s="3" t="str">
        <f t="shared" si="2"/>
        <v>Medium Income</v>
      </c>
    </row>
    <row r="164" spans="1:11" x14ac:dyDescent="0.35">
      <c r="A164" s="4">
        <v>163</v>
      </c>
      <c r="B164" s="3" t="s">
        <v>186</v>
      </c>
      <c r="C164" s="3" t="s">
        <v>11</v>
      </c>
      <c r="D164" s="3" t="s">
        <v>21</v>
      </c>
      <c r="E164" s="3">
        <v>50312</v>
      </c>
      <c r="F164" s="3">
        <v>142752</v>
      </c>
      <c r="G164" s="3" t="s">
        <v>22</v>
      </c>
      <c r="H164" s="3" t="s">
        <v>26</v>
      </c>
      <c r="I164" s="3">
        <v>647</v>
      </c>
      <c r="J164" s="5" t="s">
        <v>32</v>
      </c>
      <c r="K164" s="3" t="str">
        <f t="shared" si="2"/>
        <v>Medium Income</v>
      </c>
    </row>
    <row r="165" spans="1:11" x14ac:dyDescent="0.35">
      <c r="A165" s="4">
        <v>164</v>
      </c>
      <c r="B165" s="3" t="s">
        <v>187</v>
      </c>
      <c r="C165" s="3" t="s">
        <v>17</v>
      </c>
      <c r="D165" s="3" t="s">
        <v>18</v>
      </c>
      <c r="E165" s="3">
        <v>106443</v>
      </c>
      <c r="F165" s="3">
        <v>343996</v>
      </c>
      <c r="G165" s="3" t="s">
        <v>22</v>
      </c>
      <c r="H165" s="3" t="s">
        <v>23</v>
      </c>
      <c r="I165" s="3">
        <v>407</v>
      </c>
      <c r="J165" s="5" t="s">
        <v>15</v>
      </c>
      <c r="K165" s="3" t="str">
        <f t="shared" si="2"/>
        <v>High Income</v>
      </c>
    </row>
    <row r="166" spans="1:11" x14ac:dyDescent="0.35">
      <c r="A166" s="4">
        <v>165</v>
      </c>
      <c r="B166" s="3" t="s">
        <v>188</v>
      </c>
      <c r="C166" s="3" t="s">
        <v>11</v>
      </c>
      <c r="D166" s="3" t="s">
        <v>18</v>
      </c>
      <c r="E166" s="3">
        <v>26569</v>
      </c>
      <c r="F166" s="3">
        <v>125220</v>
      </c>
      <c r="G166" s="3" t="s">
        <v>13</v>
      </c>
      <c r="H166" s="3" t="s">
        <v>23</v>
      </c>
      <c r="I166" s="3">
        <v>712</v>
      </c>
      <c r="J166" s="5" t="s">
        <v>15</v>
      </c>
      <c r="K166" s="3" t="str">
        <f t="shared" si="2"/>
        <v>Low Income</v>
      </c>
    </row>
    <row r="167" spans="1:11" x14ac:dyDescent="0.35">
      <c r="A167" s="4">
        <v>166</v>
      </c>
      <c r="B167" s="3" t="s">
        <v>189</v>
      </c>
      <c r="C167" s="3" t="s">
        <v>11</v>
      </c>
      <c r="D167" s="3" t="s">
        <v>18</v>
      </c>
      <c r="E167" s="3">
        <v>45329</v>
      </c>
      <c r="F167" s="3">
        <v>135345</v>
      </c>
      <c r="G167" s="3" t="s">
        <v>22</v>
      </c>
      <c r="H167" s="3" t="s">
        <v>19</v>
      </c>
      <c r="I167" s="3">
        <v>694</v>
      </c>
      <c r="J167" s="5" t="s">
        <v>32</v>
      </c>
      <c r="K167" s="3" t="str">
        <f t="shared" si="2"/>
        <v>Low Income</v>
      </c>
    </row>
    <row r="168" spans="1:11" x14ac:dyDescent="0.35">
      <c r="A168" s="4">
        <v>167</v>
      </c>
      <c r="B168" s="3" t="s">
        <v>190</v>
      </c>
      <c r="C168" s="3" t="s">
        <v>11</v>
      </c>
      <c r="D168" s="3" t="s">
        <v>18</v>
      </c>
      <c r="E168" s="3">
        <v>58084</v>
      </c>
      <c r="F168" s="3">
        <v>478617</v>
      </c>
      <c r="G168" s="3" t="s">
        <v>13</v>
      </c>
      <c r="H168" s="3" t="s">
        <v>19</v>
      </c>
      <c r="I168" s="3">
        <v>445</v>
      </c>
      <c r="J168" s="5" t="s">
        <v>24</v>
      </c>
      <c r="K168" s="3" t="str">
        <f t="shared" si="2"/>
        <v>Medium Income</v>
      </c>
    </row>
    <row r="169" spans="1:11" x14ac:dyDescent="0.35">
      <c r="A169" s="4">
        <v>168</v>
      </c>
      <c r="B169" s="3" t="s">
        <v>191</v>
      </c>
      <c r="C169" s="3" t="s">
        <v>11</v>
      </c>
      <c r="D169" s="3" t="s">
        <v>18</v>
      </c>
      <c r="E169" s="3">
        <v>48825</v>
      </c>
      <c r="F169" s="3">
        <v>353104</v>
      </c>
      <c r="G169" s="3" t="s">
        <v>13</v>
      </c>
      <c r="H169" s="3" t="s">
        <v>26</v>
      </c>
      <c r="I169" s="3">
        <v>455</v>
      </c>
      <c r="J169" s="5" t="s">
        <v>32</v>
      </c>
      <c r="K169" s="3" t="str">
        <f t="shared" si="2"/>
        <v>Low Income</v>
      </c>
    </row>
    <row r="170" spans="1:11" x14ac:dyDescent="0.35">
      <c r="A170" s="4">
        <v>169</v>
      </c>
      <c r="B170" s="3" t="s">
        <v>192</v>
      </c>
      <c r="C170" s="3" t="s">
        <v>11</v>
      </c>
      <c r="D170" s="3" t="s">
        <v>21</v>
      </c>
      <c r="E170" s="3">
        <v>47912</v>
      </c>
      <c r="F170" s="3">
        <v>216990</v>
      </c>
      <c r="G170" s="3" t="s">
        <v>22</v>
      </c>
      <c r="H170" s="3" t="s">
        <v>19</v>
      </c>
      <c r="I170" s="3">
        <v>746</v>
      </c>
      <c r="J170" s="5" t="s">
        <v>32</v>
      </c>
      <c r="K170" s="3" t="str">
        <f t="shared" si="2"/>
        <v>Low Income</v>
      </c>
    </row>
    <row r="171" spans="1:11" x14ac:dyDescent="0.35">
      <c r="A171" s="4">
        <v>170</v>
      </c>
      <c r="B171" s="3" t="s">
        <v>193</v>
      </c>
      <c r="C171" s="3" t="s">
        <v>17</v>
      </c>
      <c r="D171" s="3" t="s">
        <v>12</v>
      </c>
      <c r="E171" s="3">
        <v>100468</v>
      </c>
      <c r="F171" s="3">
        <v>155641</v>
      </c>
      <c r="G171" s="3" t="s">
        <v>13</v>
      </c>
      <c r="H171" s="3" t="s">
        <v>23</v>
      </c>
      <c r="I171" s="3">
        <v>485</v>
      </c>
      <c r="J171" s="5" t="s">
        <v>15</v>
      </c>
      <c r="K171" s="3" t="str">
        <f t="shared" si="2"/>
        <v>High Income</v>
      </c>
    </row>
    <row r="172" spans="1:11" x14ac:dyDescent="0.35">
      <c r="A172" s="4">
        <v>171</v>
      </c>
      <c r="B172" s="3" t="s">
        <v>194</v>
      </c>
      <c r="C172" s="3" t="s">
        <v>17</v>
      </c>
      <c r="D172" s="3" t="s">
        <v>18</v>
      </c>
      <c r="E172" s="3">
        <v>25207</v>
      </c>
      <c r="F172" s="3">
        <v>342110</v>
      </c>
      <c r="G172" s="3" t="s">
        <v>22</v>
      </c>
      <c r="H172" s="3" t="s">
        <v>23</v>
      </c>
      <c r="I172" s="3">
        <v>897</v>
      </c>
      <c r="J172" s="5" t="s">
        <v>24</v>
      </c>
      <c r="K172" s="3" t="str">
        <f t="shared" si="2"/>
        <v>Low Income</v>
      </c>
    </row>
    <row r="173" spans="1:11" x14ac:dyDescent="0.35">
      <c r="A173" s="4">
        <v>172</v>
      </c>
      <c r="B173" s="3" t="s">
        <v>195</v>
      </c>
      <c r="C173" s="3" t="s">
        <v>11</v>
      </c>
      <c r="D173" s="3" t="s">
        <v>18</v>
      </c>
      <c r="E173" s="3">
        <v>45227</v>
      </c>
      <c r="F173" s="3">
        <v>106360</v>
      </c>
      <c r="G173" s="3" t="s">
        <v>13</v>
      </c>
      <c r="H173" s="3" t="s">
        <v>19</v>
      </c>
      <c r="I173" s="3">
        <v>626</v>
      </c>
      <c r="J173" s="5" t="s">
        <v>24</v>
      </c>
      <c r="K173" s="3" t="str">
        <f t="shared" si="2"/>
        <v>Low Income</v>
      </c>
    </row>
    <row r="174" spans="1:11" x14ac:dyDescent="0.35">
      <c r="A174" s="4">
        <v>173</v>
      </c>
      <c r="B174" s="3" t="s">
        <v>196</v>
      </c>
      <c r="C174" s="3" t="s">
        <v>11</v>
      </c>
      <c r="D174" s="3" t="s">
        <v>12</v>
      </c>
      <c r="E174" s="3">
        <v>80117</v>
      </c>
      <c r="F174" s="3">
        <v>369059</v>
      </c>
      <c r="G174" s="3" t="s">
        <v>13</v>
      </c>
      <c r="H174" s="3" t="s">
        <v>23</v>
      </c>
      <c r="I174" s="3">
        <v>374</v>
      </c>
      <c r="J174" s="5" t="s">
        <v>15</v>
      </c>
      <c r="K174" s="3" t="str">
        <f t="shared" si="2"/>
        <v>High Income</v>
      </c>
    </row>
    <row r="175" spans="1:11" x14ac:dyDescent="0.35">
      <c r="A175" s="4">
        <v>174</v>
      </c>
      <c r="B175" s="3" t="s">
        <v>197</v>
      </c>
      <c r="C175" s="3" t="s">
        <v>17</v>
      </c>
      <c r="D175" s="3" t="s">
        <v>18</v>
      </c>
      <c r="E175" s="3">
        <v>111006</v>
      </c>
      <c r="F175" s="3">
        <v>478153</v>
      </c>
      <c r="G175" s="3" t="s">
        <v>22</v>
      </c>
      <c r="H175" s="3" t="s">
        <v>14</v>
      </c>
      <c r="I175" s="3">
        <v>899</v>
      </c>
      <c r="J175" s="5" t="s">
        <v>32</v>
      </c>
      <c r="K175" s="3" t="str">
        <f t="shared" si="2"/>
        <v>High Income</v>
      </c>
    </row>
    <row r="176" spans="1:11" x14ac:dyDescent="0.35">
      <c r="A176" s="4">
        <v>175</v>
      </c>
      <c r="B176" s="3" t="s">
        <v>198</v>
      </c>
      <c r="C176" s="3" t="s">
        <v>11</v>
      </c>
      <c r="D176" s="3" t="s">
        <v>18</v>
      </c>
      <c r="E176" s="3">
        <v>30991</v>
      </c>
      <c r="F176" s="3">
        <v>257573</v>
      </c>
      <c r="G176" s="3" t="s">
        <v>22</v>
      </c>
      <c r="H176" s="3" t="s">
        <v>14</v>
      </c>
      <c r="I176" s="3">
        <v>402</v>
      </c>
      <c r="J176" s="5" t="s">
        <v>15</v>
      </c>
      <c r="K176" s="3" t="str">
        <f t="shared" si="2"/>
        <v>Low Income</v>
      </c>
    </row>
    <row r="177" spans="1:11" x14ac:dyDescent="0.35">
      <c r="A177" s="4">
        <v>176</v>
      </c>
      <c r="B177" s="3" t="s">
        <v>199</v>
      </c>
      <c r="C177" s="3" t="s">
        <v>11</v>
      </c>
      <c r="D177" s="3" t="s">
        <v>21</v>
      </c>
      <c r="E177" s="3">
        <v>112496</v>
      </c>
      <c r="F177" s="3">
        <v>172768</v>
      </c>
      <c r="G177" s="3" t="s">
        <v>22</v>
      </c>
      <c r="H177" s="3" t="s">
        <v>14</v>
      </c>
      <c r="I177" s="3">
        <v>310</v>
      </c>
      <c r="J177" s="5" t="s">
        <v>15</v>
      </c>
      <c r="K177" s="3" t="str">
        <f t="shared" si="2"/>
        <v>High Income</v>
      </c>
    </row>
    <row r="178" spans="1:11" x14ac:dyDescent="0.35">
      <c r="A178" s="4">
        <v>177</v>
      </c>
      <c r="B178" s="3" t="s">
        <v>200</v>
      </c>
      <c r="C178" s="3" t="s">
        <v>11</v>
      </c>
      <c r="D178" s="3" t="s">
        <v>18</v>
      </c>
      <c r="E178" s="3">
        <v>67413</v>
      </c>
      <c r="F178" s="3">
        <v>436953</v>
      </c>
      <c r="G178" s="3" t="s">
        <v>22</v>
      </c>
      <c r="H178" s="3" t="s">
        <v>23</v>
      </c>
      <c r="I178" s="3">
        <v>443</v>
      </c>
      <c r="J178" s="5" t="s">
        <v>24</v>
      </c>
      <c r="K178" s="3" t="str">
        <f t="shared" si="2"/>
        <v>Medium Income</v>
      </c>
    </row>
    <row r="179" spans="1:11" x14ac:dyDescent="0.35">
      <c r="A179" s="4">
        <v>178</v>
      </c>
      <c r="B179" s="3" t="s">
        <v>201</v>
      </c>
      <c r="C179" s="3" t="s">
        <v>11</v>
      </c>
      <c r="D179" s="3" t="s">
        <v>12</v>
      </c>
      <c r="E179" s="3">
        <v>41393</v>
      </c>
      <c r="F179" s="3">
        <v>220391</v>
      </c>
      <c r="G179" s="3" t="s">
        <v>13</v>
      </c>
      <c r="H179" s="3" t="s">
        <v>26</v>
      </c>
      <c r="I179" s="3">
        <v>799</v>
      </c>
      <c r="J179" s="5" t="s">
        <v>32</v>
      </c>
      <c r="K179" s="3" t="str">
        <f t="shared" si="2"/>
        <v>Low Income</v>
      </c>
    </row>
    <row r="180" spans="1:11" x14ac:dyDescent="0.35">
      <c r="A180" s="4">
        <v>179</v>
      </c>
      <c r="B180" s="3" t="s">
        <v>202</v>
      </c>
      <c r="C180" s="3" t="s">
        <v>17</v>
      </c>
      <c r="D180" s="3" t="s">
        <v>21</v>
      </c>
      <c r="E180" s="3">
        <v>79249</v>
      </c>
      <c r="F180" s="3">
        <v>486039</v>
      </c>
      <c r="G180" s="3" t="s">
        <v>22</v>
      </c>
      <c r="H180" s="3" t="s">
        <v>23</v>
      </c>
      <c r="I180" s="3">
        <v>860</v>
      </c>
      <c r="J180" s="5" t="s">
        <v>32</v>
      </c>
      <c r="K180" s="3" t="str">
        <f t="shared" si="2"/>
        <v>Medium Income</v>
      </c>
    </row>
    <row r="181" spans="1:11" x14ac:dyDescent="0.35">
      <c r="A181" s="4">
        <v>180</v>
      </c>
      <c r="B181" s="3" t="s">
        <v>203</v>
      </c>
      <c r="C181" s="3" t="s">
        <v>11</v>
      </c>
      <c r="D181" s="3" t="s">
        <v>12</v>
      </c>
      <c r="E181" s="3">
        <v>70516</v>
      </c>
      <c r="F181" s="3">
        <v>189681</v>
      </c>
      <c r="G181" s="3" t="s">
        <v>22</v>
      </c>
      <c r="H181" s="3" t="s">
        <v>14</v>
      </c>
      <c r="I181" s="3">
        <v>516</v>
      </c>
      <c r="J181" s="5" t="s">
        <v>32</v>
      </c>
      <c r="K181" s="3" t="str">
        <f t="shared" si="2"/>
        <v>Medium Income</v>
      </c>
    </row>
    <row r="182" spans="1:11" x14ac:dyDescent="0.35">
      <c r="A182" s="4">
        <v>181</v>
      </c>
      <c r="B182" s="3" t="s">
        <v>204</v>
      </c>
      <c r="C182" s="3" t="s">
        <v>11</v>
      </c>
      <c r="D182" s="3" t="s">
        <v>18</v>
      </c>
      <c r="E182" s="3">
        <v>65600</v>
      </c>
      <c r="F182" s="3">
        <v>438518</v>
      </c>
      <c r="G182" s="3" t="s">
        <v>13</v>
      </c>
      <c r="H182" s="3" t="s">
        <v>26</v>
      </c>
      <c r="I182" s="3">
        <v>774</v>
      </c>
      <c r="J182" s="5" t="s">
        <v>24</v>
      </c>
      <c r="K182" s="3" t="str">
        <f t="shared" si="2"/>
        <v>Medium Income</v>
      </c>
    </row>
    <row r="183" spans="1:11" x14ac:dyDescent="0.35">
      <c r="A183" s="4">
        <v>182</v>
      </c>
      <c r="B183" s="3" t="s">
        <v>205</v>
      </c>
      <c r="C183" s="3" t="s">
        <v>11</v>
      </c>
      <c r="D183" s="3" t="s">
        <v>18</v>
      </c>
      <c r="E183" s="3">
        <v>73452</v>
      </c>
      <c r="F183" s="3">
        <v>239534</v>
      </c>
      <c r="G183" s="3" t="s">
        <v>13</v>
      </c>
      <c r="H183" s="3" t="s">
        <v>26</v>
      </c>
      <c r="I183" s="3">
        <v>536</v>
      </c>
      <c r="J183" s="5" t="s">
        <v>32</v>
      </c>
      <c r="K183" s="3" t="str">
        <f t="shared" si="2"/>
        <v>Medium Income</v>
      </c>
    </row>
    <row r="184" spans="1:11" x14ac:dyDescent="0.35">
      <c r="A184" s="4">
        <v>183</v>
      </c>
      <c r="B184" s="3" t="s">
        <v>206</v>
      </c>
      <c r="C184" s="3" t="s">
        <v>11</v>
      </c>
      <c r="D184" s="3" t="s">
        <v>12</v>
      </c>
      <c r="E184" s="3">
        <v>37723</v>
      </c>
      <c r="F184" s="3">
        <v>298353</v>
      </c>
      <c r="G184" s="3" t="s">
        <v>13</v>
      </c>
      <c r="H184" s="3" t="s">
        <v>23</v>
      </c>
      <c r="I184" s="3">
        <v>555</v>
      </c>
      <c r="J184" s="5" t="s">
        <v>15</v>
      </c>
      <c r="K184" s="3" t="str">
        <f t="shared" si="2"/>
        <v>Low Income</v>
      </c>
    </row>
    <row r="185" spans="1:11" x14ac:dyDescent="0.35">
      <c r="A185" s="4">
        <v>184</v>
      </c>
      <c r="B185" s="3" t="s">
        <v>207</v>
      </c>
      <c r="C185" s="3" t="s">
        <v>11</v>
      </c>
      <c r="D185" s="3" t="s">
        <v>12</v>
      </c>
      <c r="E185" s="3">
        <v>37079</v>
      </c>
      <c r="F185" s="3">
        <v>306327</v>
      </c>
      <c r="G185" s="3" t="s">
        <v>22</v>
      </c>
      <c r="H185" s="3" t="s">
        <v>26</v>
      </c>
      <c r="I185" s="3">
        <v>542</v>
      </c>
      <c r="J185" s="5" t="s">
        <v>24</v>
      </c>
      <c r="K185" s="3" t="str">
        <f t="shared" si="2"/>
        <v>Low Income</v>
      </c>
    </row>
    <row r="186" spans="1:11" x14ac:dyDescent="0.35">
      <c r="A186" s="4">
        <v>185</v>
      </c>
      <c r="B186" s="3" t="s">
        <v>208</v>
      </c>
      <c r="C186" s="3" t="s">
        <v>11</v>
      </c>
      <c r="D186" s="3" t="s">
        <v>21</v>
      </c>
      <c r="E186" s="3">
        <v>64782</v>
      </c>
      <c r="F186" s="3">
        <v>327918</v>
      </c>
      <c r="G186" s="3" t="s">
        <v>13</v>
      </c>
      <c r="H186" s="3" t="s">
        <v>23</v>
      </c>
      <c r="I186" s="3">
        <v>713</v>
      </c>
      <c r="J186" s="5" t="s">
        <v>15</v>
      </c>
      <c r="K186" s="3" t="str">
        <f t="shared" si="2"/>
        <v>Medium Income</v>
      </c>
    </row>
    <row r="187" spans="1:11" x14ac:dyDescent="0.35">
      <c r="A187" s="4">
        <v>186</v>
      </c>
      <c r="B187" s="3" t="s">
        <v>209</v>
      </c>
      <c r="C187" s="3" t="s">
        <v>17</v>
      </c>
      <c r="D187" s="3" t="s">
        <v>12</v>
      </c>
      <c r="E187" s="3">
        <v>44604</v>
      </c>
      <c r="F187" s="3">
        <v>164872</v>
      </c>
      <c r="G187" s="3" t="s">
        <v>13</v>
      </c>
      <c r="H187" s="3" t="s">
        <v>26</v>
      </c>
      <c r="I187" s="3">
        <v>735</v>
      </c>
      <c r="J187" s="5" t="s">
        <v>24</v>
      </c>
      <c r="K187" s="3" t="str">
        <f t="shared" si="2"/>
        <v>Low Income</v>
      </c>
    </row>
    <row r="188" spans="1:11" x14ac:dyDescent="0.35">
      <c r="A188" s="4">
        <v>187</v>
      </c>
      <c r="B188" s="3" t="s">
        <v>210</v>
      </c>
      <c r="C188" s="3" t="s">
        <v>17</v>
      </c>
      <c r="D188" s="3" t="s">
        <v>21</v>
      </c>
      <c r="E188" s="3">
        <v>78269</v>
      </c>
      <c r="F188" s="3">
        <v>309530</v>
      </c>
      <c r="G188" s="3" t="s">
        <v>13</v>
      </c>
      <c r="H188" s="3" t="s">
        <v>19</v>
      </c>
      <c r="I188" s="3">
        <v>755</v>
      </c>
      <c r="J188" s="5" t="s">
        <v>24</v>
      </c>
      <c r="K188" s="3" t="str">
        <f t="shared" si="2"/>
        <v>Medium Income</v>
      </c>
    </row>
    <row r="189" spans="1:11" x14ac:dyDescent="0.35">
      <c r="A189" s="4">
        <v>188</v>
      </c>
      <c r="B189" s="3" t="s">
        <v>211</v>
      </c>
      <c r="C189" s="3" t="s">
        <v>17</v>
      </c>
      <c r="D189" s="3" t="s">
        <v>12</v>
      </c>
      <c r="E189" s="3">
        <v>66120</v>
      </c>
      <c r="F189" s="3">
        <v>245171</v>
      </c>
      <c r="G189" s="3" t="s">
        <v>13</v>
      </c>
      <c r="H189" s="3" t="s">
        <v>14</v>
      </c>
      <c r="I189" s="3">
        <v>857</v>
      </c>
      <c r="J189" s="5" t="s">
        <v>24</v>
      </c>
      <c r="K189" s="3" t="str">
        <f t="shared" si="2"/>
        <v>Medium Income</v>
      </c>
    </row>
    <row r="190" spans="1:11" x14ac:dyDescent="0.35">
      <c r="A190" s="4">
        <v>189</v>
      </c>
      <c r="B190" s="3" t="s">
        <v>212</v>
      </c>
      <c r="C190" s="3" t="s">
        <v>17</v>
      </c>
      <c r="D190" s="3" t="s">
        <v>12</v>
      </c>
      <c r="E190" s="3">
        <v>79827</v>
      </c>
      <c r="F190" s="3">
        <v>93134</v>
      </c>
      <c r="G190" s="3" t="s">
        <v>13</v>
      </c>
      <c r="H190" s="3" t="s">
        <v>26</v>
      </c>
      <c r="I190" s="3">
        <v>501</v>
      </c>
      <c r="J190" s="5" t="s">
        <v>32</v>
      </c>
      <c r="K190" s="3" t="str">
        <f t="shared" si="2"/>
        <v>Medium Income</v>
      </c>
    </row>
    <row r="191" spans="1:11" x14ac:dyDescent="0.35">
      <c r="A191" s="4">
        <v>190</v>
      </c>
      <c r="B191" s="3" t="s">
        <v>213</v>
      </c>
      <c r="C191" s="3" t="s">
        <v>17</v>
      </c>
      <c r="D191" s="3" t="s">
        <v>12</v>
      </c>
      <c r="E191" s="3">
        <v>61906</v>
      </c>
      <c r="F191" s="3">
        <v>118153</v>
      </c>
      <c r="G191" s="3" t="s">
        <v>13</v>
      </c>
      <c r="H191" s="3" t="s">
        <v>19</v>
      </c>
      <c r="I191" s="3">
        <v>761</v>
      </c>
      <c r="J191" s="5" t="s">
        <v>24</v>
      </c>
      <c r="K191" s="3" t="str">
        <f t="shared" si="2"/>
        <v>Medium Income</v>
      </c>
    </row>
    <row r="192" spans="1:11" x14ac:dyDescent="0.35">
      <c r="A192" s="4">
        <v>191</v>
      </c>
      <c r="B192" s="3" t="s">
        <v>214</v>
      </c>
      <c r="C192" s="3" t="s">
        <v>17</v>
      </c>
      <c r="D192" s="3" t="s">
        <v>21</v>
      </c>
      <c r="E192" s="3">
        <v>108534</v>
      </c>
      <c r="F192" s="3">
        <v>462885</v>
      </c>
      <c r="G192" s="3" t="s">
        <v>22</v>
      </c>
      <c r="H192" s="3" t="s">
        <v>26</v>
      </c>
      <c r="I192" s="3">
        <v>636</v>
      </c>
      <c r="J192" s="5" t="s">
        <v>32</v>
      </c>
      <c r="K192" s="3" t="str">
        <f t="shared" si="2"/>
        <v>High Income</v>
      </c>
    </row>
    <row r="193" spans="1:11" x14ac:dyDescent="0.35">
      <c r="A193" s="4">
        <v>192</v>
      </c>
      <c r="B193" s="3" t="s">
        <v>215</v>
      </c>
      <c r="C193" s="3" t="s">
        <v>11</v>
      </c>
      <c r="D193" s="3" t="s">
        <v>21</v>
      </c>
      <c r="E193" s="3">
        <v>107798</v>
      </c>
      <c r="F193" s="3">
        <v>13097</v>
      </c>
      <c r="G193" s="3" t="s">
        <v>13</v>
      </c>
      <c r="H193" s="3" t="s">
        <v>26</v>
      </c>
      <c r="I193" s="3">
        <v>659</v>
      </c>
      <c r="J193" s="5" t="s">
        <v>24</v>
      </c>
      <c r="K193" s="3" t="str">
        <f t="shared" si="2"/>
        <v>High Income</v>
      </c>
    </row>
    <row r="194" spans="1:11" x14ac:dyDescent="0.35">
      <c r="A194" s="4">
        <v>193</v>
      </c>
      <c r="B194" s="3" t="s">
        <v>216</v>
      </c>
      <c r="C194" s="3" t="s">
        <v>17</v>
      </c>
      <c r="D194" s="3" t="s">
        <v>21</v>
      </c>
      <c r="E194" s="3">
        <v>116201</v>
      </c>
      <c r="F194" s="3">
        <v>91491</v>
      </c>
      <c r="G194" s="3" t="s">
        <v>13</v>
      </c>
      <c r="H194" s="3" t="s">
        <v>26</v>
      </c>
      <c r="I194" s="3">
        <v>457</v>
      </c>
      <c r="J194" s="5" t="s">
        <v>15</v>
      </c>
      <c r="K194" s="3" t="str">
        <f t="shared" ref="K194:K257" si="3">IF(E194&gt;80000,"High Income",IF(E194&gt;=50000,"Medium Income","Low Income"))</f>
        <v>High Income</v>
      </c>
    </row>
    <row r="195" spans="1:11" x14ac:dyDescent="0.35">
      <c r="A195" s="4">
        <v>194</v>
      </c>
      <c r="B195" s="3" t="s">
        <v>217</v>
      </c>
      <c r="C195" s="3" t="s">
        <v>17</v>
      </c>
      <c r="D195" s="3" t="s">
        <v>18</v>
      </c>
      <c r="E195" s="3">
        <v>80739</v>
      </c>
      <c r="F195" s="3">
        <v>104285</v>
      </c>
      <c r="G195" s="3" t="s">
        <v>22</v>
      </c>
      <c r="H195" s="3" t="s">
        <v>19</v>
      </c>
      <c r="I195" s="3">
        <v>343</v>
      </c>
      <c r="J195" s="5" t="s">
        <v>24</v>
      </c>
      <c r="K195" s="3" t="str">
        <f t="shared" si="3"/>
        <v>High Income</v>
      </c>
    </row>
    <row r="196" spans="1:11" x14ac:dyDescent="0.35">
      <c r="A196" s="4">
        <v>195</v>
      </c>
      <c r="B196" s="3" t="s">
        <v>218</v>
      </c>
      <c r="C196" s="3" t="s">
        <v>17</v>
      </c>
      <c r="D196" s="3" t="s">
        <v>12</v>
      </c>
      <c r="E196" s="3">
        <v>93721</v>
      </c>
      <c r="F196" s="3">
        <v>435327</v>
      </c>
      <c r="G196" s="3" t="s">
        <v>13</v>
      </c>
      <c r="H196" s="3" t="s">
        <v>14</v>
      </c>
      <c r="I196" s="3">
        <v>889</v>
      </c>
      <c r="J196" s="5" t="s">
        <v>24</v>
      </c>
      <c r="K196" s="3" t="str">
        <f t="shared" si="3"/>
        <v>High Income</v>
      </c>
    </row>
    <row r="197" spans="1:11" x14ac:dyDescent="0.35">
      <c r="A197" s="4">
        <v>196</v>
      </c>
      <c r="B197" s="3" t="s">
        <v>219</v>
      </c>
      <c r="C197" s="3" t="s">
        <v>11</v>
      </c>
      <c r="D197" s="3" t="s">
        <v>18</v>
      </c>
      <c r="E197" s="3">
        <v>76667</v>
      </c>
      <c r="F197" s="3">
        <v>110889</v>
      </c>
      <c r="G197" s="3" t="s">
        <v>13</v>
      </c>
      <c r="H197" s="3" t="s">
        <v>19</v>
      </c>
      <c r="I197" s="3">
        <v>376</v>
      </c>
      <c r="J197" s="5" t="s">
        <v>24</v>
      </c>
      <c r="K197" s="3" t="str">
        <f t="shared" si="3"/>
        <v>Medium Income</v>
      </c>
    </row>
    <row r="198" spans="1:11" x14ac:dyDescent="0.35">
      <c r="A198" s="4">
        <v>197</v>
      </c>
      <c r="B198" s="3" t="s">
        <v>220</v>
      </c>
      <c r="C198" s="3" t="s">
        <v>17</v>
      </c>
      <c r="D198" s="3" t="s">
        <v>21</v>
      </c>
      <c r="E198" s="3">
        <v>86334</v>
      </c>
      <c r="F198" s="3">
        <v>150974</v>
      </c>
      <c r="G198" s="3" t="s">
        <v>22</v>
      </c>
      <c r="H198" s="3" t="s">
        <v>14</v>
      </c>
      <c r="I198" s="3">
        <v>870</v>
      </c>
      <c r="J198" s="5" t="s">
        <v>15</v>
      </c>
      <c r="K198" s="3" t="str">
        <f t="shared" si="3"/>
        <v>High Income</v>
      </c>
    </row>
    <row r="199" spans="1:11" x14ac:dyDescent="0.35">
      <c r="A199" s="4">
        <v>198</v>
      </c>
      <c r="B199" s="3" t="s">
        <v>221</v>
      </c>
      <c r="C199" s="3" t="s">
        <v>17</v>
      </c>
      <c r="D199" s="3" t="s">
        <v>21</v>
      </c>
      <c r="E199" s="3">
        <v>69305</v>
      </c>
      <c r="F199" s="3">
        <v>157375</v>
      </c>
      <c r="G199" s="3" t="s">
        <v>13</v>
      </c>
      <c r="H199" s="3" t="s">
        <v>19</v>
      </c>
      <c r="I199" s="3">
        <v>671</v>
      </c>
      <c r="J199" s="5" t="s">
        <v>24</v>
      </c>
      <c r="K199" s="3" t="str">
        <f t="shared" si="3"/>
        <v>Medium Income</v>
      </c>
    </row>
    <row r="200" spans="1:11" x14ac:dyDescent="0.35">
      <c r="A200" s="4">
        <v>199</v>
      </c>
      <c r="B200" s="3" t="s">
        <v>222</v>
      </c>
      <c r="C200" s="3" t="s">
        <v>17</v>
      </c>
      <c r="D200" s="3" t="s">
        <v>12</v>
      </c>
      <c r="E200" s="3">
        <v>87083</v>
      </c>
      <c r="F200" s="3">
        <v>14955</v>
      </c>
      <c r="G200" s="3" t="s">
        <v>13</v>
      </c>
      <c r="H200" s="3" t="s">
        <v>26</v>
      </c>
      <c r="I200" s="3">
        <v>407</v>
      </c>
      <c r="J200" s="5" t="s">
        <v>24</v>
      </c>
      <c r="K200" s="3" t="str">
        <f t="shared" si="3"/>
        <v>High Income</v>
      </c>
    </row>
    <row r="201" spans="1:11" x14ac:dyDescent="0.35">
      <c r="A201" s="4">
        <v>200</v>
      </c>
      <c r="B201" s="3" t="s">
        <v>223</v>
      </c>
      <c r="C201" s="3" t="s">
        <v>17</v>
      </c>
      <c r="D201" s="3" t="s">
        <v>18</v>
      </c>
      <c r="E201" s="3">
        <v>62890</v>
      </c>
      <c r="F201" s="3">
        <v>440361</v>
      </c>
      <c r="G201" s="3" t="s">
        <v>13</v>
      </c>
      <c r="H201" s="3" t="s">
        <v>26</v>
      </c>
      <c r="I201" s="3">
        <v>439</v>
      </c>
      <c r="J201" s="5" t="s">
        <v>15</v>
      </c>
      <c r="K201" s="3" t="str">
        <f t="shared" si="3"/>
        <v>Medium Income</v>
      </c>
    </row>
    <row r="202" spans="1:11" x14ac:dyDescent="0.35">
      <c r="A202" s="4">
        <v>201</v>
      </c>
      <c r="B202" s="3" t="s">
        <v>224</v>
      </c>
      <c r="C202" s="3" t="s">
        <v>17</v>
      </c>
      <c r="D202" s="3" t="s">
        <v>21</v>
      </c>
      <c r="E202" s="3">
        <v>103297</v>
      </c>
      <c r="F202" s="3">
        <v>82820</v>
      </c>
      <c r="G202" s="3" t="s">
        <v>13</v>
      </c>
      <c r="H202" s="3" t="s">
        <v>14</v>
      </c>
      <c r="I202" s="3">
        <v>821</v>
      </c>
      <c r="J202" s="5" t="s">
        <v>24</v>
      </c>
      <c r="K202" s="3" t="str">
        <f t="shared" si="3"/>
        <v>High Income</v>
      </c>
    </row>
    <row r="203" spans="1:11" x14ac:dyDescent="0.35">
      <c r="A203" s="4">
        <v>202</v>
      </c>
      <c r="B203" s="3" t="s">
        <v>225</v>
      </c>
      <c r="C203" s="3" t="s">
        <v>17</v>
      </c>
      <c r="D203" s="3" t="s">
        <v>12</v>
      </c>
      <c r="E203" s="3">
        <v>79959</v>
      </c>
      <c r="F203" s="3">
        <v>314245</v>
      </c>
      <c r="G203" s="3" t="s">
        <v>13</v>
      </c>
      <c r="H203" s="3" t="s">
        <v>23</v>
      </c>
      <c r="I203" s="3">
        <v>374</v>
      </c>
      <c r="J203" s="5" t="s">
        <v>24</v>
      </c>
      <c r="K203" s="3" t="str">
        <f t="shared" si="3"/>
        <v>Medium Income</v>
      </c>
    </row>
    <row r="204" spans="1:11" x14ac:dyDescent="0.35">
      <c r="A204" s="4">
        <v>203</v>
      </c>
      <c r="B204" s="3" t="s">
        <v>226</v>
      </c>
      <c r="C204" s="3" t="s">
        <v>17</v>
      </c>
      <c r="D204" s="3" t="s">
        <v>18</v>
      </c>
      <c r="E204" s="3">
        <v>82686</v>
      </c>
      <c r="F204" s="3">
        <v>377467</v>
      </c>
      <c r="G204" s="3" t="s">
        <v>22</v>
      </c>
      <c r="H204" s="3" t="s">
        <v>26</v>
      </c>
      <c r="I204" s="3">
        <v>530</v>
      </c>
      <c r="J204" s="5" t="s">
        <v>15</v>
      </c>
      <c r="K204" s="3" t="str">
        <f t="shared" si="3"/>
        <v>High Income</v>
      </c>
    </row>
    <row r="205" spans="1:11" x14ac:dyDescent="0.35">
      <c r="A205" s="4">
        <v>204</v>
      </c>
      <c r="B205" s="3" t="s">
        <v>227</v>
      </c>
      <c r="C205" s="3" t="s">
        <v>11</v>
      </c>
      <c r="D205" s="3" t="s">
        <v>12</v>
      </c>
      <c r="E205" s="3">
        <v>67749</v>
      </c>
      <c r="F205" s="3">
        <v>163548</v>
      </c>
      <c r="G205" s="3" t="s">
        <v>22</v>
      </c>
      <c r="H205" s="3" t="s">
        <v>19</v>
      </c>
      <c r="I205" s="3">
        <v>341</v>
      </c>
      <c r="J205" s="5" t="s">
        <v>24</v>
      </c>
      <c r="K205" s="3" t="str">
        <f t="shared" si="3"/>
        <v>Medium Income</v>
      </c>
    </row>
    <row r="206" spans="1:11" x14ac:dyDescent="0.35">
      <c r="A206" s="4">
        <v>205</v>
      </c>
      <c r="B206" s="3" t="s">
        <v>228</v>
      </c>
      <c r="C206" s="3" t="s">
        <v>17</v>
      </c>
      <c r="D206" s="3" t="s">
        <v>12</v>
      </c>
      <c r="E206" s="3">
        <v>69020</v>
      </c>
      <c r="F206" s="3">
        <v>275082</v>
      </c>
      <c r="G206" s="3" t="s">
        <v>22</v>
      </c>
      <c r="H206" s="3" t="s">
        <v>14</v>
      </c>
      <c r="I206" s="3">
        <v>825</v>
      </c>
      <c r="J206" s="5" t="s">
        <v>15</v>
      </c>
      <c r="K206" s="3" t="str">
        <f t="shared" si="3"/>
        <v>Medium Income</v>
      </c>
    </row>
    <row r="207" spans="1:11" x14ac:dyDescent="0.35">
      <c r="A207" s="4">
        <v>206</v>
      </c>
      <c r="B207" s="3" t="s">
        <v>229</v>
      </c>
      <c r="C207" s="3" t="s">
        <v>11</v>
      </c>
      <c r="D207" s="3" t="s">
        <v>18</v>
      </c>
      <c r="E207" s="3">
        <v>46955</v>
      </c>
      <c r="F207" s="3">
        <v>181156</v>
      </c>
      <c r="G207" s="3" t="s">
        <v>22</v>
      </c>
      <c r="H207" s="3" t="s">
        <v>26</v>
      </c>
      <c r="I207" s="3">
        <v>420</v>
      </c>
      <c r="J207" s="5" t="s">
        <v>32</v>
      </c>
      <c r="K207" s="3" t="str">
        <f t="shared" si="3"/>
        <v>Low Income</v>
      </c>
    </row>
    <row r="208" spans="1:11" x14ac:dyDescent="0.35">
      <c r="A208" s="4">
        <v>207</v>
      </c>
      <c r="B208" s="3" t="s">
        <v>230</v>
      </c>
      <c r="C208" s="3" t="s">
        <v>17</v>
      </c>
      <c r="D208" s="3" t="s">
        <v>21</v>
      </c>
      <c r="E208" s="3">
        <v>21543</v>
      </c>
      <c r="F208" s="3">
        <v>223009</v>
      </c>
      <c r="G208" s="3" t="s">
        <v>13</v>
      </c>
      <c r="H208" s="3" t="s">
        <v>26</v>
      </c>
      <c r="I208" s="3">
        <v>714</v>
      </c>
      <c r="J208" s="5" t="s">
        <v>32</v>
      </c>
      <c r="K208" s="3" t="str">
        <f t="shared" si="3"/>
        <v>Low Income</v>
      </c>
    </row>
    <row r="209" spans="1:11" x14ac:dyDescent="0.35">
      <c r="A209" s="4">
        <v>208</v>
      </c>
      <c r="B209" s="3" t="s">
        <v>231</v>
      </c>
      <c r="C209" s="3" t="s">
        <v>17</v>
      </c>
      <c r="D209" s="3" t="s">
        <v>21</v>
      </c>
      <c r="E209" s="3">
        <v>100919</v>
      </c>
      <c r="F209" s="3">
        <v>458773</v>
      </c>
      <c r="G209" s="3" t="s">
        <v>22</v>
      </c>
      <c r="H209" s="3" t="s">
        <v>14</v>
      </c>
      <c r="I209" s="3">
        <v>560</v>
      </c>
      <c r="J209" s="5" t="s">
        <v>32</v>
      </c>
      <c r="K209" s="3" t="str">
        <f t="shared" si="3"/>
        <v>High Income</v>
      </c>
    </row>
    <row r="210" spans="1:11" x14ac:dyDescent="0.35">
      <c r="A210" s="4">
        <v>209</v>
      </c>
      <c r="B210" s="3" t="s">
        <v>232</v>
      </c>
      <c r="C210" s="3" t="s">
        <v>17</v>
      </c>
      <c r="D210" s="3" t="s">
        <v>21</v>
      </c>
      <c r="E210" s="3">
        <v>116119</v>
      </c>
      <c r="F210" s="3">
        <v>241670</v>
      </c>
      <c r="G210" s="3" t="s">
        <v>13</v>
      </c>
      <c r="H210" s="3" t="s">
        <v>14</v>
      </c>
      <c r="I210" s="3">
        <v>509</v>
      </c>
      <c r="J210" s="5" t="s">
        <v>15</v>
      </c>
      <c r="K210" s="3" t="str">
        <f t="shared" si="3"/>
        <v>High Income</v>
      </c>
    </row>
    <row r="211" spans="1:11" x14ac:dyDescent="0.35">
      <c r="A211" s="4">
        <v>210</v>
      </c>
      <c r="B211" s="3" t="s">
        <v>233</v>
      </c>
      <c r="C211" s="3" t="s">
        <v>11</v>
      </c>
      <c r="D211" s="3" t="s">
        <v>18</v>
      </c>
      <c r="E211" s="3">
        <v>110967</v>
      </c>
      <c r="F211" s="3">
        <v>455795</v>
      </c>
      <c r="G211" s="3" t="s">
        <v>13</v>
      </c>
      <c r="H211" s="3" t="s">
        <v>14</v>
      </c>
      <c r="I211" s="3">
        <v>715</v>
      </c>
      <c r="J211" s="5" t="s">
        <v>24</v>
      </c>
      <c r="K211" s="3" t="str">
        <f t="shared" si="3"/>
        <v>High Income</v>
      </c>
    </row>
    <row r="212" spans="1:11" x14ac:dyDescent="0.35">
      <c r="A212" s="4">
        <v>211</v>
      </c>
      <c r="B212" s="3" t="s">
        <v>234</v>
      </c>
      <c r="C212" s="3" t="s">
        <v>17</v>
      </c>
      <c r="D212" s="3" t="s">
        <v>18</v>
      </c>
      <c r="E212" s="3">
        <v>93953</v>
      </c>
      <c r="F212" s="3">
        <v>85140</v>
      </c>
      <c r="G212" s="3" t="s">
        <v>13</v>
      </c>
      <c r="H212" s="3" t="s">
        <v>14</v>
      </c>
      <c r="I212" s="3">
        <v>769</v>
      </c>
      <c r="J212" s="5" t="s">
        <v>32</v>
      </c>
      <c r="K212" s="3" t="str">
        <f t="shared" si="3"/>
        <v>High Income</v>
      </c>
    </row>
    <row r="213" spans="1:11" x14ac:dyDescent="0.35">
      <c r="A213" s="4">
        <v>212</v>
      </c>
      <c r="B213" s="3" t="s">
        <v>235</v>
      </c>
      <c r="C213" s="3" t="s">
        <v>11</v>
      </c>
      <c r="D213" s="3" t="s">
        <v>18</v>
      </c>
      <c r="E213" s="3">
        <v>99455</v>
      </c>
      <c r="F213" s="3">
        <v>191135</v>
      </c>
      <c r="G213" s="3" t="s">
        <v>22</v>
      </c>
      <c r="H213" s="3" t="s">
        <v>23</v>
      </c>
      <c r="I213" s="3">
        <v>306</v>
      </c>
      <c r="J213" s="5" t="s">
        <v>15</v>
      </c>
      <c r="K213" s="3" t="str">
        <f t="shared" si="3"/>
        <v>High Income</v>
      </c>
    </row>
    <row r="214" spans="1:11" x14ac:dyDescent="0.35">
      <c r="A214" s="4">
        <v>213</v>
      </c>
      <c r="B214" s="3" t="s">
        <v>236</v>
      </c>
      <c r="C214" s="3" t="s">
        <v>17</v>
      </c>
      <c r="D214" s="3" t="s">
        <v>12</v>
      </c>
      <c r="E214" s="3">
        <v>51000</v>
      </c>
      <c r="F214" s="3">
        <v>95057</v>
      </c>
      <c r="G214" s="3" t="s">
        <v>13</v>
      </c>
      <c r="H214" s="3" t="s">
        <v>19</v>
      </c>
      <c r="I214" s="3">
        <v>589</v>
      </c>
      <c r="J214" s="5" t="s">
        <v>32</v>
      </c>
      <c r="K214" s="3" t="str">
        <f t="shared" si="3"/>
        <v>Medium Income</v>
      </c>
    </row>
    <row r="215" spans="1:11" x14ac:dyDescent="0.35">
      <c r="A215" s="4">
        <v>214</v>
      </c>
      <c r="B215" s="3" t="s">
        <v>237</v>
      </c>
      <c r="C215" s="3" t="s">
        <v>11</v>
      </c>
      <c r="D215" s="3" t="s">
        <v>12</v>
      </c>
      <c r="E215" s="3">
        <v>47185</v>
      </c>
      <c r="F215" s="3">
        <v>303483</v>
      </c>
      <c r="G215" s="3" t="s">
        <v>22</v>
      </c>
      <c r="H215" s="3" t="s">
        <v>26</v>
      </c>
      <c r="I215" s="3">
        <v>360</v>
      </c>
      <c r="J215" s="5" t="s">
        <v>32</v>
      </c>
      <c r="K215" s="3" t="str">
        <f t="shared" si="3"/>
        <v>Low Income</v>
      </c>
    </row>
    <row r="216" spans="1:11" x14ac:dyDescent="0.35">
      <c r="A216" s="4">
        <v>215</v>
      </c>
      <c r="B216" s="3" t="s">
        <v>238</v>
      </c>
      <c r="C216" s="3" t="s">
        <v>17</v>
      </c>
      <c r="D216" s="3" t="s">
        <v>18</v>
      </c>
      <c r="E216" s="3">
        <v>41953</v>
      </c>
      <c r="F216" s="3">
        <v>460148</v>
      </c>
      <c r="G216" s="3" t="s">
        <v>22</v>
      </c>
      <c r="H216" s="3" t="s">
        <v>26</v>
      </c>
      <c r="I216" s="3">
        <v>846</v>
      </c>
      <c r="J216" s="5" t="s">
        <v>15</v>
      </c>
      <c r="K216" s="3" t="str">
        <f t="shared" si="3"/>
        <v>Low Income</v>
      </c>
    </row>
    <row r="217" spans="1:11" x14ac:dyDescent="0.35">
      <c r="A217" s="4">
        <v>216</v>
      </c>
      <c r="B217" s="3" t="s">
        <v>239</v>
      </c>
      <c r="C217" s="3" t="s">
        <v>17</v>
      </c>
      <c r="D217" s="3" t="s">
        <v>21</v>
      </c>
      <c r="E217" s="3">
        <v>91966</v>
      </c>
      <c r="F217" s="3">
        <v>360962</v>
      </c>
      <c r="G217" s="3" t="s">
        <v>13</v>
      </c>
      <c r="H217" s="3" t="s">
        <v>26</v>
      </c>
      <c r="I217" s="3">
        <v>896</v>
      </c>
      <c r="J217" s="5" t="s">
        <v>15</v>
      </c>
      <c r="K217" s="3" t="str">
        <f t="shared" si="3"/>
        <v>High Income</v>
      </c>
    </row>
    <row r="218" spans="1:11" x14ac:dyDescent="0.35">
      <c r="A218" s="4">
        <v>217</v>
      </c>
      <c r="B218" s="3" t="s">
        <v>240</v>
      </c>
      <c r="C218" s="3" t="s">
        <v>11</v>
      </c>
      <c r="D218" s="3" t="s">
        <v>18</v>
      </c>
      <c r="E218" s="3">
        <v>95528</v>
      </c>
      <c r="F218" s="3">
        <v>12195</v>
      </c>
      <c r="G218" s="3" t="s">
        <v>22</v>
      </c>
      <c r="H218" s="3" t="s">
        <v>14</v>
      </c>
      <c r="I218" s="3">
        <v>345</v>
      </c>
      <c r="J218" s="5" t="s">
        <v>24</v>
      </c>
      <c r="K218" s="3" t="str">
        <f t="shared" si="3"/>
        <v>High Income</v>
      </c>
    </row>
    <row r="219" spans="1:11" x14ac:dyDescent="0.35">
      <c r="A219" s="4">
        <v>218</v>
      </c>
      <c r="B219" s="3" t="s">
        <v>241</v>
      </c>
      <c r="C219" s="3" t="s">
        <v>11</v>
      </c>
      <c r="D219" s="3" t="s">
        <v>12</v>
      </c>
      <c r="E219" s="3">
        <v>105531</v>
      </c>
      <c r="F219" s="3">
        <v>493062</v>
      </c>
      <c r="G219" s="3" t="s">
        <v>22</v>
      </c>
      <c r="H219" s="3" t="s">
        <v>23</v>
      </c>
      <c r="I219" s="3">
        <v>363</v>
      </c>
      <c r="J219" s="5" t="s">
        <v>24</v>
      </c>
      <c r="K219" s="3" t="str">
        <f t="shared" si="3"/>
        <v>High Income</v>
      </c>
    </row>
    <row r="220" spans="1:11" x14ac:dyDescent="0.35">
      <c r="A220" s="4">
        <v>219</v>
      </c>
      <c r="B220" s="3" t="s">
        <v>242</v>
      </c>
      <c r="C220" s="3" t="s">
        <v>17</v>
      </c>
      <c r="D220" s="3" t="s">
        <v>12</v>
      </c>
      <c r="E220" s="3">
        <v>59091</v>
      </c>
      <c r="F220" s="3">
        <v>191393</v>
      </c>
      <c r="G220" s="3" t="s">
        <v>22</v>
      </c>
      <c r="H220" s="3" t="s">
        <v>23</v>
      </c>
      <c r="I220" s="3">
        <v>760</v>
      </c>
      <c r="J220" s="5" t="s">
        <v>24</v>
      </c>
      <c r="K220" s="3" t="str">
        <f t="shared" si="3"/>
        <v>Medium Income</v>
      </c>
    </row>
    <row r="221" spans="1:11" x14ac:dyDescent="0.35">
      <c r="A221" s="4">
        <v>220</v>
      </c>
      <c r="B221" s="3" t="s">
        <v>243</v>
      </c>
      <c r="C221" s="3" t="s">
        <v>17</v>
      </c>
      <c r="D221" s="3" t="s">
        <v>12</v>
      </c>
      <c r="E221" s="3">
        <v>112834</v>
      </c>
      <c r="F221" s="3">
        <v>494457</v>
      </c>
      <c r="G221" s="3" t="s">
        <v>22</v>
      </c>
      <c r="H221" s="3" t="s">
        <v>23</v>
      </c>
      <c r="I221" s="3">
        <v>318</v>
      </c>
      <c r="J221" s="5" t="s">
        <v>15</v>
      </c>
      <c r="K221" s="3" t="str">
        <f t="shared" si="3"/>
        <v>High Income</v>
      </c>
    </row>
    <row r="222" spans="1:11" x14ac:dyDescent="0.35">
      <c r="A222" s="4">
        <v>221</v>
      </c>
      <c r="B222" s="3" t="s">
        <v>244</v>
      </c>
      <c r="C222" s="3" t="s">
        <v>11</v>
      </c>
      <c r="D222" s="3" t="s">
        <v>18</v>
      </c>
      <c r="E222" s="3">
        <v>104645</v>
      </c>
      <c r="F222" s="3">
        <v>58877</v>
      </c>
      <c r="G222" s="3" t="s">
        <v>13</v>
      </c>
      <c r="H222" s="3" t="s">
        <v>14</v>
      </c>
      <c r="I222" s="3">
        <v>710</v>
      </c>
      <c r="J222" s="5" t="s">
        <v>15</v>
      </c>
      <c r="K222" s="3" t="str">
        <f t="shared" si="3"/>
        <v>High Income</v>
      </c>
    </row>
    <row r="223" spans="1:11" x14ac:dyDescent="0.35">
      <c r="A223" s="4">
        <v>222</v>
      </c>
      <c r="B223" s="3" t="s">
        <v>245</v>
      </c>
      <c r="C223" s="3" t="s">
        <v>17</v>
      </c>
      <c r="D223" s="3" t="s">
        <v>21</v>
      </c>
      <c r="E223" s="3">
        <v>97875</v>
      </c>
      <c r="F223" s="3">
        <v>204136</v>
      </c>
      <c r="G223" s="3" t="s">
        <v>22</v>
      </c>
      <c r="H223" s="3" t="s">
        <v>26</v>
      </c>
      <c r="I223" s="3">
        <v>384</v>
      </c>
      <c r="J223" s="5" t="s">
        <v>15</v>
      </c>
      <c r="K223" s="3" t="str">
        <f t="shared" si="3"/>
        <v>High Income</v>
      </c>
    </row>
    <row r="224" spans="1:11" x14ac:dyDescent="0.35">
      <c r="A224" s="4">
        <v>223</v>
      </c>
      <c r="B224" s="3" t="s">
        <v>246</v>
      </c>
      <c r="C224" s="3" t="s">
        <v>11</v>
      </c>
      <c r="D224" s="3" t="s">
        <v>21</v>
      </c>
      <c r="E224" s="3">
        <v>112879</v>
      </c>
      <c r="F224" s="3">
        <v>496548</v>
      </c>
      <c r="G224" s="3" t="s">
        <v>13</v>
      </c>
      <c r="H224" s="3" t="s">
        <v>26</v>
      </c>
      <c r="I224" s="3">
        <v>729</v>
      </c>
      <c r="J224" s="5" t="s">
        <v>15</v>
      </c>
      <c r="K224" s="3" t="str">
        <f t="shared" si="3"/>
        <v>High Income</v>
      </c>
    </row>
    <row r="225" spans="1:11" x14ac:dyDescent="0.35">
      <c r="A225" s="4">
        <v>224</v>
      </c>
      <c r="B225" s="3" t="s">
        <v>247</v>
      </c>
      <c r="C225" s="3" t="s">
        <v>11</v>
      </c>
      <c r="D225" s="3" t="s">
        <v>18</v>
      </c>
      <c r="E225" s="3">
        <v>37513</v>
      </c>
      <c r="F225" s="3">
        <v>68884</v>
      </c>
      <c r="G225" s="3" t="s">
        <v>22</v>
      </c>
      <c r="H225" s="3" t="s">
        <v>23</v>
      </c>
      <c r="I225" s="3">
        <v>551</v>
      </c>
      <c r="J225" s="5" t="s">
        <v>15</v>
      </c>
      <c r="K225" s="3" t="str">
        <f t="shared" si="3"/>
        <v>Low Income</v>
      </c>
    </row>
    <row r="226" spans="1:11" x14ac:dyDescent="0.35">
      <c r="A226" s="4">
        <v>225</v>
      </c>
      <c r="B226" s="3" t="s">
        <v>248</v>
      </c>
      <c r="C226" s="3" t="s">
        <v>11</v>
      </c>
      <c r="D226" s="3" t="s">
        <v>12</v>
      </c>
      <c r="E226" s="3">
        <v>44045</v>
      </c>
      <c r="F226" s="3">
        <v>28733</v>
      </c>
      <c r="G226" s="3" t="s">
        <v>13</v>
      </c>
      <c r="H226" s="3" t="s">
        <v>23</v>
      </c>
      <c r="I226" s="3">
        <v>753</v>
      </c>
      <c r="J226" s="5" t="s">
        <v>15</v>
      </c>
      <c r="K226" s="3" t="str">
        <f t="shared" si="3"/>
        <v>Low Income</v>
      </c>
    </row>
    <row r="227" spans="1:11" x14ac:dyDescent="0.35">
      <c r="A227" s="4">
        <v>226</v>
      </c>
      <c r="B227" s="3" t="s">
        <v>249</v>
      </c>
      <c r="C227" s="3" t="s">
        <v>11</v>
      </c>
      <c r="D227" s="3" t="s">
        <v>18</v>
      </c>
      <c r="E227" s="3">
        <v>100592</v>
      </c>
      <c r="F227" s="3">
        <v>490778</v>
      </c>
      <c r="G227" s="3" t="s">
        <v>13</v>
      </c>
      <c r="H227" s="3" t="s">
        <v>19</v>
      </c>
      <c r="I227" s="3">
        <v>584</v>
      </c>
      <c r="J227" s="5" t="s">
        <v>32</v>
      </c>
      <c r="K227" s="3" t="str">
        <f t="shared" si="3"/>
        <v>High Income</v>
      </c>
    </row>
    <row r="228" spans="1:11" x14ac:dyDescent="0.35">
      <c r="A228" s="4">
        <v>227</v>
      </c>
      <c r="B228" s="3" t="s">
        <v>250</v>
      </c>
      <c r="C228" s="3" t="s">
        <v>17</v>
      </c>
      <c r="D228" s="3" t="s">
        <v>18</v>
      </c>
      <c r="E228" s="3">
        <v>89815</v>
      </c>
      <c r="F228" s="3">
        <v>149413</v>
      </c>
      <c r="G228" s="3" t="s">
        <v>13</v>
      </c>
      <c r="H228" s="3" t="s">
        <v>26</v>
      </c>
      <c r="I228" s="3">
        <v>686</v>
      </c>
      <c r="J228" s="5" t="s">
        <v>32</v>
      </c>
      <c r="K228" s="3" t="str">
        <f t="shared" si="3"/>
        <v>High Income</v>
      </c>
    </row>
    <row r="229" spans="1:11" x14ac:dyDescent="0.35">
      <c r="A229" s="4">
        <v>228</v>
      </c>
      <c r="B229" s="3" t="s">
        <v>251</v>
      </c>
      <c r="C229" s="3" t="s">
        <v>17</v>
      </c>
      <c r="D229" s="3" t="s">
        <v>21</v>
      </c>
      <c r="E229" s="3">
        <v>24879</v>
      </c>
      <c r="F229" s="3">
        <v>237891</v>
      </c>
      <c r="G229" s="3" t="s">
        <v>13</v>
      </c>
      <c r="H229" s="3" t="s">
        <v>14</v>
      </c>
      <c r="I229" s="3">
        <v>476</v>
      </c>
      <c r="J229" s="5" t="s">
        <v>15</v>
      </c>
      <c r="K229" s="3" t="str">
        <f t="shared" si="3"/>
        <v>Low Income</v>
      </c>
    </row>
    <row r="230" spans="1:11" x14ac:dyDescent="0.35">
      <c r="A230" s="4">
        <v>229</v>
      </c>
      <c r="B230" s="3" t="s">
        <v>252</v>
      </c>
      <c r="C230" s="3" t="s">
        <v>11</v>
      </c>
      <c r="D230" s="3" t="s">
        <v>21</v>
      </c>
      <c r="E230" s="3">
        <v>81683</v>
      </c>
      <c r="F230" s="3">
        <v>187193</v>
      </c>
      <c r="G230" s="3" t="s">
        <v>22</v>
      </c>
      <c r="H230" s="3" t="s">
        <v>26</v>
      </c>
      <c r="I230" s="3">
        <v>827</v>
      </c>
      <c r="J230" s="5" t="s">
        <v>32</v>
      </c>
      <c r="K230" s="3" t="str">
        <f t="shared" si="3"/>
        <v>High Income</v>
      </c>
    </row>
    <row r="231" spans="1:11" x14ac:dyDescent="0.35">
      <c r="A231" s="4">
        <v>230</v>
      </c>
      <c r="B231" s="3" t="s">
        <v>253</v>
      </c>
      <c r="C231" s="3" t="s">
        <v>11</v>
      </c>
      <c r="D231" s="3" t="s">
        <v>21</v>
      </c>
      <c r="E231" s="3">
        <v>21758</v>
      </c>
      <c r="F231" s="3">
        <v>22649</v>
      </c>
      <c r="G231" s="3" t="s">
        <v>22</v>
      </c>
      <c r="H231" s="3" t="s">
        <v>26</v>
      </c>
      <c r="I231" s="3">
        <v>596</v>
      </c>
      <c r="J231" s="5" t="s">
        <v>15</v>
      </c>
      <c r="K231" s="3" t="str">
        <f t="shared" si="3"/>
        <v>Low Income</v>
      </c>
    </row>
    <row r="232" spans="1:11" x14ac:dyDescent="0.35">
      <c r="A232" s="4">
        <v>231</v>
      </c>
      <c r="B232" s="3" t="s">
        <v>254</v>
      </c>
      <c r="C232" s="3" t="s">
        <v>17</v>
      </c>
      <c r="D232" s="3" t="s">
        <v>21</v>
      </c>
      <c r="E232" s="3">
        <v>36303</v>
      </c>
      <c r="F232" s="3">
        <v>59917</v>
      </c>
      <c r="G232" s="3" t="s">
        <v>13</v>
      </c>
      <c r="H232" s="3" t="s">
        <v>23</v>
      </c>
      <c r="I232" s="3">
        <v>818</v>
      </c>
      <c r="J232" s="5" t="s">
        <v>32</v>
      </c>
      <c r="K232" s="3" t="str">
        <f t="shared" si="3"/>
        <v>Low Income</v>
      </c>
    </row>
    <row r="233" spans="1:11" x14ac:dyDescent="0.35">
      <c r="A233" s="4">
        <v>232</v>
      </c>
      <c r="B233" s="3" t="s">
        <v>255</v>
      </c>
      <c r="C233" s="3" t="s">
        <v>11</v>
      </c>
      <c r="D233" s="3" t="s">
        <v>18</v>
      </c>
      <c r="E233" s="3">
        <v>53230</v>
      </c>
      <c r="F233" s="3">
        <v>409116</v>
      </c>
      <c r="G233" s="3" t="s">
        <v>13</v>
      </c>
      <c r="H233" s="3" t="s">
        <v>14</v>
      </c>
      <c r="I233" s="3">
        <v>409</v>
      </c>
      <c r="J233" s="5" t="s">
        <v>24</v>
      </c>
      <c r="K233" s="3" t="str">
        <f t="shared" si="3"/>
        <v>Medium Income</v>
      </c>
    </row>
    <row r="234" spans="1:11" x14ac:dyDescent="0.35">
      <c r="A234" s="4">
        <v>233</v>
      </c>
      <c r="B234" s="3" t="s">
        <v>256</v>
      </c>
      <c r="C234" s="3" t="s">
        <v>17</v>
      </c>
      <c r="D234" s="3" t="s">
        <v>18</v>
      </c>
      <c r="E234" s="3">
        <v>111931</v>
      </c>
      <c r="F234" s="3">
        <v>168650</v>
      </c>
      <c r="G234" s="3" t="s">
        <v>22</v>
      </c>
      <c r="H234" s="3" t="s">
        <v>26</v>
      </c>
      <c r="I234" s="3">
        <v>524</v>
      </c>
      <c r="J234" s="5" t="s">
        <v>32</v>
      </c>
      <c r="K234" s="3" t="str">
        <f t="shared" si="3"/>
        <v>High Income</v>
      </c>
    </row>
    <row r="235" spans="1:11" x14ac:dyDescent="0.35">
      <c r="A235" s="4">
        <v>234</v>
      </c>
      <c r="B235" s="3" t="s">
        <v>257</v>
      </c>
      <c r="C235" s="3" t="s">
        <v>17</v>
      </c>
      <c r="D235" s="3" t="s">
        <v>21</v>
      </c>
      <c r="E235" s="3">
        <v>118463</v>
      </c>
      <c r="F235" s="3">
        <v>391844</v>
      </c>
      <c r="G235" s="3" t="s">
        <v>22</v>
      </c>
      <c r="H235" s="3" t="s">
        <v>14</v>
      </c>
      <c r="I235" s="3">
        <v>775</v>
      </c>
      <c r="J235" s="5" t="s">
        <v>24</v>
      </c>
      <c r="K235" s="3" t="str">
        <f t="shared" si="3"/>
        <v>High Income</v>
      </c>
    </row>
    <row r="236" spans="1:11" x14ac:dyDescent="0.35">
      <c r="A236" s="4">
        <v>235</v>
      </c>
      <c r="B236" s="3" t="s">
        <v>258</v>
      </c>
      <c r="C236" s="3" t="s">
        <v>11</v>
      </c>
      <c r="D236" s="3" t="s">
        <v>12</v>
      </c>
      <c r="E236" s="3">
        <v>60930</v>
      </c>
      <c r="F236" s="3">
        <v>475595</v>
      </c>
      <c r="G236" s="3" t="s">
        <v>13</v>
      </c>
      <c r="H236" s="3" t="s">
        <v>19</v>
      </c>
      <c r="I236" s="3">
        <v>539</v>
      </c>
      <c r="J236" s="5" t="s">
        <v>32</v>
      </c>
      <c r="K236" s="3" t="str">
        <f t="shared" si="3"/>
        <v>Medium Income</v>
      </c>
    </row>
    <row r="237" spans="1:11" x14ac:dyDescent="0.35">
      <c r="A237" s="4">
        <v>236</v>
      </c>
      <c r="B237" s="3" t="s">
        <v>259</v>
      </c>
      <c r="C237" s="3" t="s">
        <v>11</v>
      </c>
      <c r="D237" s="3" t="s">
        <v>21</v>
      </c>
      <c r="E237" s="3">
        <v>63806</v>
      </c>
      <c r="F237" s="3">
        <v>183201</v>
      </c>
      <c r="G237" s="3" t="s">
        <v>22</v>
      </c>
      <c r="H237" s="3" t="s">
        <v>14</v>
      </c>
      <c r="I237" s="3">
        <v>827</v>
      </c>
      <c r="J237" s="5" t="s">
        <v>15</v>
      </c>
      <c r="K237" s="3" t="str">
        <f t="shared" si="3"/>
        <v>Medium Income</v>
      </c>
    </row>
    <row r="238" spans="1:11" x14ac:dyDescent="0.35">
      <c r="A238" s="4">
        <v>237</v>
      </c>
      <c r="B238" s="3" t="s">
        <v>260</v>
      </c>
      <c r="C238" s="3" t="s">
        <v>11</v>
      </c>
      <c r="D238" s="3" t="s">
        <v>12</v>
      </c>
      <c r="E238" s="3">
        <v>78395</v>
      </c>
      <c r="F238" s="3">
        <v>340737</v>
      </c>
      <c r="G238" s="3" t="s">
        <v>13</v>
      </c>
      <c r="H238" s="3" t="s">
        <v>19</v>
      </c>
      <c r="I238" s="3">
        <v>875</v>
      </c>
      <c r="J238" s="5" t="s">
        <v>24</v>
      </c>
      <c r="K238" s="3" t="str">
        <f t="shared" si="3"/>
        <v>Medium Income</v>
      </c>
    </row>
    <row r="239" spans="1:11" x14ac:dyDescent="0.35">
      <c r="A239" s="4">
        <v>238</v>
      </c>
      <c r="B239" s="3" t="s">
        <v>261</v>
      </c>
      <c r="C239" s="3" t="s">
        <v>11</v>
      </c>
      <c r="D239" s="3" t="s">
        <v>18</v>
      </c>
      <c r="E239" s="3">
        <v>106136</v>
      </c>
      <c r="F239" s="3">
        <v>218987</v>
      </c>
      <c r="G239" s="3" t="s">
        <v>13</v>
      </c>
      <c r="H239" s="3" t="s">
        <v>23</v>
      </c>
      <c r="I239" s="3">
        <v>369</v>
      </c>
      <c r="J239" s="5" t="s">
        <v>24</v>
      </c>
      <c r="K239" s="3" t="str">
        <f t="shared" si="3"/>
        <v>High Income</v>
      </c>
    </row>
    <row r="240" spans="1:11" x14ac:dyDescent="0.35">
      <c r="A240" s="4">
        <v>239</v>
      </c>
      <c r="B240" s="3" t="s">
        <v>262</v>
      </c>
      <c r="C240" s="3" t="s">
        <v>17</v>
      </c>
      <c r="D240" s="3" t="s">
        <v>18</v>
      </c>
      <c r="E240" s="3">
        <v>67122</v>
      </c>
      <c r="F240" s="3">
        <v>291062</v>
      </c>
      <c r="G240" s="3" t="s">
        <v>22</v>
      </c>
      <c r="H240" s="3" t="s">
        <v>23</v>
      </c>
      <c r="I240" s="3">
        <v>805</v>
      </c>
      <c r="J240" s="5" t="s">
        <v>15</v>
      </c>
      <c r="K240" s="3" t="str">
        <f t="shared" si="3"/>
        <v>Medium Income</v>
      </c>
    </row>
    <row r="241" spans="1:11" x14ac:dyDescent="0.35">
      <c r="A241" s="4">
        <v>240</v>
      </c>
      <c r="B241" s="3" t="s">
        <v>263</v>
      </c>
      <c r="C241" s="3" t="s">
        <v>17</v>
      </c>
      <c r="D241" s="3" t="s">
        <v>21</v>
      </c>
      <c r="E241" s="3">
        <v>24720</v>
      </c>
      <c r="F241" s="3">
        <v>398927</v>
      </c>
      <c r="G241" s="3" t="s">
        <v>13</v>
      </c>
      <c r="H241" s="3" t="s">
        <v>26</v>
      </c>
      <c r="I241" s="3">
        <v>715</v>
      </c>
      <c r="J241" s="5" t="s">
        <v>32</v>
      </c>
      <c r="K241" s="3" t="str">
        <f t="shared" si="3"/>
        <v>Low Income</v>
      </c>
    </row>
    <row r="242" spans="1:11" x14ac:dyDescent="0.35">
      <c r="A242" s="4">
        <v>241</v>
      </c>
      <c r="B242" s="3" t="s">
        <v>264</v>
      </c>
      <c r="C242" s="3" t="s">
        <v>11</v>
      </c>
      <c r="D242" s="3" t="s">
        <v>18</v>
      </c>
      <c r="E242" s="3">
        <v>48240</v>
      </c>
      <c r="F242" s="3">
        <v>481026</v>
      </c>
      <c r="G242" s="3" t="s">
        <v>13</v>
      </c>
      <c r="H242" s="3" t="s">
        <v>19</v>
      </c>
      <c r="I242" s="3">
        <v>730</v>
      </c>
      <c r="J242" s="5" t="s">
        <v>15</v>
      </c>
      <c r="K242" s="3" t="str">
        <f t="shared" si="3"/>
        <v>Low Income</v>
      </c>
    </row>
    <row r="243" spans="1:11" x14ac:dyDescent="0.35">
      <c r="A243" s="4">
        <v>242</v>
      </c>
      <c r="B243" s="3" t="s">
        <v>265</v>
      </c>
      <c r="C243" s="3" t="s">
        <v>11</v>
      </c>
      <c r="D243" s="3" t="s">
        <v>12</v>
      </c>
      <c r="E243" s="3">
        <v>81621</v>
      </c>
      <c r="F243" s="3">
        <v>443470</v>
      </c>
      <c r="G243" s="3" t="s">
        <v>13</v>
      </c>
      <c r="H243" s="3" t="s">
        <v>19</v>
      </c>
      <c r="I243" s="3">
        <v>450</v>
      </c>
      <c r="J243" s="5" t="s">
        <v>32</v>
      </c>
      <c r="K243" s="3" t="str">
        <f t="shared" si="3"/>
        <v>High Income</v>
      </c>
    </row>
    <row r="244" spans="1:11" x14ac:dyDescent="0.35">
      <c r="A244" s="4">
        <v>243</v>
      </c>
      <c r="B244" s="3" t="s">
        <v>266</v>
      </c>
      <c r="C244" s="3" t="s">
        <v>17</v>
      </c>
      <c r="D244" s="3" t="s">
        <v>12</v>
      </c>
      <c r="E244" s="3">
        <v>64241</v>
      </c>
      <c r="F244" s="3">
        <v>191046</v>
      </c>
      <c r="G244" s="3" t="s">
        <v>13</v>
      </c>
      <c r="H244" s="3" t="s">
        <v>14</v>
      </c>
      <c r="I244" s="3">
        <v>605</v>
      </c>
      <c r="J244" s="5" t="s">
        <v>32</v>
      </c>
      <c r="K244" s="3" t="str">
        <f t="shared" si="3"/>
        <v>Medium Income</v>
      </c>
    </row>
    <row r="245" spans="1:11" x14ac:dyDescent="0.35">
      <c r="A245" s="4">
        <v>244</v>
      </c>
      <c r="B245" s="3" t="s">
        <v>267</v>
      </c>
      <c r="C245" s="3" t="s">
        <v>11</v>
      </c>
      <c r="D245" s="3" t="s">
        <v>18</v>
      </c>
      <c r="E245" s="3">
        <v>99486</v>
      </c>
      <c r="F245" s="3">
        <v>239214</v>
      </c>
      <c r="G245" s="3" t="s">
        <v>13</v>
      </c>
      <c r="H245" s="3" t="s">
        <v>19</v>
      </c>
      <c r="I245" s="3">
        <v>708</v>
      </c>
      <c r="J245" s="5" t="s">
        <v>24</v>
      </c>
      <c r="K245" s="3" t="str">
        <f t="shared" si="3"/>
        <v>High Income</v>
      </c>
    </row>
    <row r="246" spans="1:11" x14ac:dyDescent="0.35">
      <c r="A246" s="4">
        <v>245</v>
      </c>
      <c r="B246" s="3" t="s">
        <v>268</v>
      </c>
      <c r="C246" s="3" t="s">
        <v>17</v>
      </c>
      <c r="D246" s="3" t="s">
        <v>12</v>
      </c>
      <c r="E246" s="3">
        <v>29673</v>
      </c>
      <c r="F246" s="3">
        <v>192896</v>
      </c>
      <c r="G246" s="3" t="s">
        <v>22</v>
      </c>
      <c r="H246" s="3" t="s">
        <v>19</v>
      </c>
      <c r="I246" s="3">
        <v>762</v>
      </c>
      <c r="J246" s="5" t="s">
        <v>32</v>
      </c>
      <c r="K246" s="3" t="str">
        <f t="shared" si="3"/>
        <v>Low Income</v>
      </c>
    </row>
    <row r="247" spans="1:11" x14ac:dyDescent="0.35">
      <c r="A247" s="4">
        <v>246</v>
      </c>
      <c r="B247" s="3" t="s">
        <v>269</v>
      </c>
      <c r="C247" s="3" t="s">
        <v>17</v>
      </c>
      <c r="D247" s="3" t="s">
        <v>12</v>
      </c>
      <c r="E247" s="3">
        <v>50085</v>
      </c>
      <c r="F247" s="3">
        <v>336888</v>
      </c>
      <c r="G247" s="3" t="s">
        <v>22</v>
      </c>
      <c r="H247" s="3" t="s">
        <v>26</v>
      </c>
      <c r="I247" s="3">
        <v>406</v>
      </c>
      <c r="J247" s="5" t="s">
        <v>32</v>
      </c>
      <c r="K247" s="3" t="str">
        <f t="shared" si="3"/>
        <v>Medium Income</v>
      </c>
    </row>
    <row r="248" spans="1:11" x14ac:dyDescent="0.35">
      <c r="A248" s="4">
        <v>247</v>
      </c>
      <c r="B248" s="3" t="s">
        <v>270</v>
      </c>
      <c r="C248" s="3" t="s">
        <v>17</v>
      </c>
      <c r="D248" s="3" t="s">
        <v>21</v>
      </c>
      <c r="E248" s="3">
        <v>24761</v>
      </c>
      <c r="F248" s="3">
        <v>381272</v>
      </c>
      <c r="G248" s="3" t="s">
        <v>13</v>
      </c>
      <c r="H248" s="3" t="s">
        <v>23</v>
      </c>
      <c r="I248" s="3">
        <v>585</v>
      </c>
      <c r="J248" s="5" t="s">
        <v>24</v>
      </c>
      <c r="K248" s="3" t="str">
        <f t="shared" si="3"/>
        <v>Low Income</v>
      </c>
    </row>
    <row r="249" spans="1:11" x14ac:dyDescent="0.35">
      <c r="A249" s="4">
        <v>248</v>
      </c>
      <c r="B249" s="3" t="s">
        <v>271</v>
      </c>
      <c r="C249" s="3" t="s">
        <v>11</v>
      </c>
      <c r="D249" s="3" t="s">
        <v>21</v>
      </c>
      <c r="E249" s="3">
        <v>32849</v>
      </c>
      <c r="F249" s="3">
        <v>420895</v>
      </c>
      <c r="G249" s="3" t="s">
        <v>22</v>
      </c>
      <c r="H249" s="3" t="s">
        <v>19</v>
      </c>
      <c r="I249" s="3">
        <v>801</v>
      </c>
      <c r="J249" s="5" t="s">
        <v>24</v>
      </c>
      <c r="K249" s="3" t="str">
        <f t="shared" si="3"/>
        <v>Low Income</v>
      </c>
    </row>
    <row r="250" spans="1:11" x14ac:dyDescent="0.35">
      <c r="A250" s="4">
        <v>249</v>
      </c>
      <c r="B250" s="3" t="s">
        <v>272</v>
      </c>
      <c r="C250" s="3" t="s">
        <v>17</v>
      </c>
      <c r="D250" s="3" t="s">
        <v>21</v>
      </c>
      <c r="E250" s="3">
        <v>74358</v>
      </c>
      <c r="F250" s="3">
        <v>179080</v>
      </c>
      <c r="G250" s="3" t="s">
        <v>22</v>
      </c>
      <c r="H250" s="3" t="s">
        <v>14</v>
      </c>
      <c r="I250" s="3">
        <v>773</v>
      </c>
      <c r="J250" s="5" t="s">
        <v>15</v>
      </c>
      <c r="K250" s="3" t="str">
        <f t="shared" si="3"/>
        <v>Medium Income</v>
      </c>
    </row>
    <row r="251" spans="1:11" x14ac:dyDescent="0.35">
      <c r="A251" s="4">
        <v>250</v>
      </c>
      <c r="B251" s="3" t="s">
        <v>273</v>
      </c>
      <c r="C251" s="3" t="s">
        <v>17</v>
      </c>
      <c r="D251" s="3" t="s">
        <v>12</v>
      </c>
      <c r="E251" s="3">
        <v>45833</v>
      </c>
      <c r="F251" s="3">
        <v>26815</v>
      </c>
      <c r="G251" s="3" t="s">
        <v>13</v>
      </c>
      <c r="H251" s="3" t="s">
        <v>19</v>
      </c>
      <c r="I251" s="3">
        <v>390</v>
      </c>
      <c r="J251" s="5" t="s">
        <v>32</v>
      </c>
      <c r="K251" s="3" t="str">
        <f t="shared" si="3"/>
        <v>Low Income</v>
      </c>
    </row>
    <row r="252" spans="1:11" x14ac:dyDescent="0.35">
      <c r="A252" s="4">
        <v>251</v>
      </c>
      <c r="B252" s="3" t="s">
        <v>274</v>
      </c>
      <c r="C252" s="3" t="s">
        <v>17</v>
      </c>
      <c r="D252" s="3" t="s">
        <v>18</v>
      </c>
      <c r="E252" s="3">
        <v>81104</v>
      </c>
      <c r="F252" s="3">
        <v>20873</v>
      </c>
      <c r="G252" s="3" t="s">
        <v>22</v>
      </c>
      <c r="H252" s="3" t="s">
        <v>19</v>
      </c>
      <c r="I252" s="3">
        <v>607</v>
      </c>
      <c r="J252" s="5" t="s">
        <v>24</v>
      </c>
      <c r="K252" s="3" t="str">
        <f t="shared" si="3"/>
        <v>High Income</v>
      </c>
    </row>
    <row r="253" spans="1:11" x14ac:dyDescent="0.35">
      <c r="A253" s="4">
        <v>252</v>
      </c>
      <c r="B253" s="3" t="s">
        <v>275</v>
      </c>
      <c r="C253" s="3" t="s">
        <v>11</v>
      </c>
      <c r="D253" s="3" t="s">
        <v>12</v>
      </c>
      <c r="E253" s="3">
        <v>73095</v>
      </c>
      <c r="F253" s="3">
        <v>18661</v>
      </c>
      <c r="G253" s="3" t="s">
        <v>22</v>
      </c>
      <c r="H253" s="3" t="s">
        <v>19</v>
      </c>
      <c r="I253" s="3">
        <v>660</v>
      </c>
      <c r="J253" s="5" t="s">
        <v>15</v>
      </c>
      <c r="K253" s="3" t="str">
        <f t="shared" si="3"/>
        <v>Medium Income</v>
      </c>
    </row>
    <row r="254" spans="1:11" x14ac:dyDescent="0.35">
      <c r="A254" s="4">
        <v>253</v>
      </c>
      <c r="B254" s="3" t="s">
        <v>276</v>
      </c>
      <c r="C254" s="3" t="s">
        <v>17</v>
      </c>
      <c r="D254" s="3" t="s">
        <v>12</v>
      </c>
      <c r="E254" s="3">
        <v>37208</v>
      </c>
      <c r="F254" s="3">
        <v>88128</v>
      </c>
      <c r="G254" s="3" t="s">
        <v>22</v>
      </c>
      <c r="H254" s="3" t="s">
        <v>19</v>
      </c>
      <c r="I254" s="3">
        <v>734</v>
      </c>
      <c r="J254" s="5" t="s">
        <v>32</v>
      </c>
      <c r="K254" s="3" t="str">
        <f t="shared" si="3"/>
        <v>Low Income</v>
      </c>
    </row>
    <row r="255" spans="1:11" x14ac:dyDescent="0.35">
      <c r="A255" s="4">
        <v>254</v>
      </c>
      <c r="B255" s="3" t="s">
        <v>277</v>
      </c>
      <c r="C255" s="3" t="s">
        <v>11</v>
      </c>
      <c r="D255" s="3" t="s">
        <v>21</v>
      </c>
      <c r="E255" s="3">
        <v>34491</v>
      </c>
      <c r="F255" s="3">
        <v>439384</v>
      </c>
      <c r="G255" s="3" t="s">
        <v>13</v>
      </c>
      <c r="H255" s="3" t="s">
        <v>14</v>
      </c>
      <c r="I255" s="3">
        <v>323</v>
      </c>
      <c r="J255" s="5" t="s">
        <v>15</v>
      </c>
      <c r="K255" s="3" t="str">
        <f t="shared" si="3"/>
        <v>Low Income</v>
      </c>
    </row>
    <row r="256" spans="1:11" x14ac:dyDescent="0.35">
      <c r="A256" s="4">
        <v>255</v>
      </c>
      <c r="B256" s="3" t="s">
        <v>278</v>
      </c>
      <c r="C256" s="3" t="s">
        <v>17</v>
      </c>
      <c r="D256" s="3" t="s">
        <v>21</v>
      </c>
      <c r="E256" s="3">
        <v>53609</v>
      </c>
      <c r="F256" s="3">
        <v>158771</v>
      </c>
      <c r="G256" s="3" t="s">
        <v>22</v>
      </c>
      <c r="H256" s="3" t="s">
        <v>26</v>
      </c>
      <c r="I256" s="3">
        <v>806</v>
      </c>
      <c r="J256" s="5" t="s">
        <v>32</v>
      </c>
      <c r="K256" s="3" t="str">
        <f t="shared" si="3"/>
        <v>Medium Income</v>
      </c>
    </row>
    <row r="257" spans="1:11" x14ac:dyDescent="0.35">
      <c r="A257" s="4">
        <v>256</v>
      </c>
      <c r="B257" s="3" t="s">
        <v>279</v>
      </c>
      <c r="C257" s="3" t="s">
        <v>11</v>
      </c>
      <c r="D257" s="3" t="s">
        <v>12</v>
      </c>
      <c r="E257" s="3">
        <v>21465</v>
      </c>
      <c r="F257" s="3">
        <v>334434</v>
      </c>
      <c r="G257" s="3" t="s">
        <v>13</v>
      </c>
      <c r="H257" s="3" t="s">
        <v>26</v>
      </c>
      <c r="I257" s="3">
        <v>436</v>
      </c>
      <c r="J257" s="5" t="s">
        <v>32</v>
      </c>
      <c r="K257" s="3" t="str">
        <f t="shared" si="3"/>
        <v>Low Income</v>
      </c>
    </row>
    <row r="258" spans="1:11" x14ac:dyDescent="0.35">
      <c r="A258" s="4">
        <v>257</v>
      </c>
      <c r="B258" s="3" t="s">
        <v>280</v>
      </c>
      <c r="C258" s="3" t="s">
        <v>17</v>
      </c>
      <c r="D258" s="3" t="s">
        <v>12</v>
      </c>
      <c r="E258" s="3">
        <v>46526</v>
      </c>
      <c r="F258" s="3">
        <v>30077</v>
      </c>
      <c r="G258" s="3" t="s">
        <v>13</v>
      </c>
      <c r="H258" s="3" t="s">
        <v>26</v>
      </c>
      <c r="I258" s="3">
        <v>607</v>
      </c>
      <c r="J258" s="5" t="s">
        <v>32</v>
      </c>
      <c r="K258" s="3" t="str">
        <f t="shared" ref="K258:K321" si="4">IF(E258&gt;80000,"High Income",IF(E258&gt;=50000,"Medium Income","Low Income"))</f>
        <v>Low Income</v>
      </c>
    </row>
    <row r="259" spans="1:11" x14ac:dyDescent="0.35">
      <c r="A259" s="4">
        <v>258</v>
      </c>
      <c r="B259" s="3" t="s">
        <v>281</v>
      </c>
      <c r="C259" s="3" t="s">
        <v>17</v>
      </c>
      <c r="D259" s="3" t="s">
        <v>18</v>
      </c>
      <c r="E259" s="3">
        <v>35765</v>
      </c>
      <c r="F259" s="3">
        <v>46375</v>
      </c>
      <c r="G259" s="3" t="s">
        <v>22</v>
      </c>
      <c r="H259" s="3" t="s">
        <v>23</v>
      </c>
      <c r="I259" s="3">
        <v>804</v>
      </c>
      <c r="J259" s="5" t="s">
        <v>15</v>
      </c>
      <c r="K259" s="3" t="str">
        <f t="shared" si="4"/>
        <v>Low Income</v>
      </c>
    </row>
    <row r="260" spans="1:11" x14ac:dyDescent="0.35">
      <c r="A260" s="4">
        <v>259</v>
      </c>
      <c r="B260" s="3" t="s">
        <v>282</v>
      </c>
      <c r="C260" s="3" t="s">
        <v>17</v>
      </c>
      <c r="D260" s="3" t="s">
        <v>21</v>
      </c>
      <c r="E260" s="3">
        <v>93150</v>
      </c>
      <c r="F260" s="3">
        <v>189198</v>
      </c>
      <c r="G260" s="3" t="s">
        <v>22</v>
      </c>
      <c r="H260" s="3" t="s">
        <v>19</v>
      </c>
      <c r="I260" s="3">
        <v>882</v>
      </c>
      <c r="J260" s="5" t="s">
        <v>32</v>
      </c>
      <c r="K260" s="3" t="str">
        <f t="shared" si="4"/>
        <v>High Income</v>
      </c>
    </row>
    <row r="261" spans="1:11" x14ac:dyDescent="0.35">
      <c r="A261" s="4">
        <v>260</v>
      </c>
      <c r="B261" s="3" t="s">
        <v>283</v>
      </c>
      <c r="C261" s="3" t="s">
        <v>11</v>
      </c>
      <c r="D261" s="3" t="s">
        <v>12</v>
      </c>
      <c r="E261" s="3">
        <v>117648</v>
      </c>
      <c r="F261" s="3">
        <v>208433</v>
      </c>
      <c r="G261" s="3" t="s">
        <v>22</v>
      </c>
      <c r="H261" s="3" t="s">
        <v>14</v>
      </c>
      <c r="I261" s="3">
        <v>511</v>
      </c>
      <c r="J261" s="5" t="s">
        <v>32</v>
      </c>
      <c r="K261" s="3" t="str">
        <f t="shared" si="4"/>
        <v>High Income</v>
      </c>
    </row>
    <row r="262" spans="1:11" x14ac:dyDescent="0.35">
      <c r="A262" s="4">
        <v>261</v>
      </c>
      <c r="B262" s="3" t="s">
        <v>284</v>
      </c>
      <c r="C262" s="3" t="s">
        <v>11</v>
      </c>
      <c r="D262" s="3" t="s">
        <v>12</v>
      </c>
      <c r="E262" s="3">
        <v>27160</v>
      </c>
      <c r="F262" s="3">
        <v>462381</v>
      </c>
      <c r="G262" s="3" t="s">
        <v>22</v>
      </c>
      <c r="H262" s="3" t="s">
        <v>23</v>
      </c>
      <c r="I262" s="3">
        <v>451</v>
      </c>
      <c r="J262" s="5" t="s">
        <v>15</v>
      </c>
      <c r="K262" s="3" t="str">
        <f t="shared" si="4"/>
        <v>Low Income</v>
      </c>
    </row>
    <row r="263" spans="1:11" x14ac:dyDescent="0.35">
      <c r="A263" s="4">
        <v>262</v>
      </c>
      <c r="B263" s="3" t="s">
        <v>285</v>
      </c>
      <c r="C263" s="3" t="s">
        <v>17</v>
      </c>
      <c r="D263" s="3" t="s">
        <v>18</v>
      </c>
      <c r="E263" s="3">
        <v>33751</v>
      </c>
      <c r="F263" s="3">
        <v>189030</v>
      </c>
      <c r="G263" s="3" t="s">
        <v>13</v>
      </c>
      <c r="H263" s="3" t="s">
        <v>23</v>
      </c>
      <c r="I263" s="3">
        <v>782</v>
      </c>
      <c r="J263" s="5" t="s">
        <v>15</v>
      </c>
      <c r="K263" s="3" t="str">
        <f t="shared" si="4"/>
        <v>Low Income</v>
      </c>
    </row>
    <row r="264" spans="1:11" x14ac:dyDescent="0.35">
      <c r="A264" s="4">
        <v>263</v>
      </c>
      <c r="B264" s="3" t="s">
        <v>286</v>
      </c>
      <c r="C264" s="3" t="s">
        <v>17</v>
      </c>
      <c r="D264" s="3" t="s">
        <v>12</v>
      </c>
      <c r="E264" s="3">
        <v>61070</v>
      </c>
      <c r="F264" s="3">
        <v>313058</v>
      </c>
      <c r="G264" s="3" t="s">
        <v>22</v>
      </c>
      <c r="H264" s="3" t="s">
        <v>23</v>
      </c>
      <c r="I264" s="3">
        <v>809</v>
      </c>
      <c r="J264" s="5" t="s">
        <v>24</v>
      </c>
      <c r="K264" s="3" t="str">
        <f t="shared" si="4"/>
        <v>Medium Income</v>
      </c>
    </row>
    <row r="265" spans="1:11" x14ac:dyDescent="0.35">
      <c r="A265" s="4">
        <v>264</v>
      </c>
      <c r="B265" s="3" t="s">
        <v>287</v>
      </c>
      <c r="C265" s="3" t="s">
        <v>17</v>
      </c>
      <c r="D265" s="3" t="s">
        <v>12</v>
      </c>
      <c r="E265" s="3">
        <v>44451</v>
      </c>
      <c r="F265" s="3">
        <v>428006</v>
      </c>
      <c r="G265" s="3" t="s">
        <v>22</v>
      </c>
      <c r="H265" s="3" t="s">
        <v>26</v>
      </c>
      <c r="I265" s="3">
        <v>479</v>
      </c>
      <c r="J265" s="5" t="s">
        <v>24</v>
      </c>
      <c r="K265" s="3" t="str">
        <f t="shared" si="4"/>
        <v>Low Income</v>
      </c>
    </row>
    <row r="266" spans="1:11" x14ac:dyDescent="0.35">
      <c r="A266" s="4">
        <v>265</v>
      </c>
      <c r="B266" s="3" t="s">
        <v>288</v>
      </c>
      <c r="C266" s="3" t="s">
        <v>11</v>
      </c>
      <c r="D266" s="3" t="s">
        <v>21</v>
      </c>
      <c r="E266" s="3">
        <v>22559</v>
      </c>
      <c r="F266" s="3">
        <v>449220</v>
      </c>
      <c r="G266" s="3" t="s">
        <v>13</v>
      </c>
      <c r="H266" s="3" t="s">
        <v>14</v>
      </c>
      <c r="I266" s="3">
        <v>757</v>
      </c>
      <c r="J266" s="5" t="s">
        <v>15</v>
      </c>
      <c r="K266" s="3" t="str">
        <f t="shared" si="4"/>
        <v>Low Income</v>
      </c>
    </row>
    <row r="267" spans="1:11" x14ac:dyDescent="0.35">
      <c r="A267" s="4">
        <v>266</v>
      </c>
      <c r="B267" s="3" t="s">
        <v>289</v>
      </c>
      <c r="C267" s="3" t="s">
        <v>17</v>
      </c>
      <c r="D267" s="3" t="s">
        <v>21</v>
      </c>
      <c r="E267" s="3">
        <v>58079</v>
      </c>
      <c r="F267" s="3">
        <v>195877</v>
      </c>
      <c r="G267" s="3" t="s">
        <v>13</v>
      </c>
      <c r="H267" s="3" t="s">
        <v>23</v>
      </c>
      <c r="I267" s="3">
        <v>643</v>
      </c>
      <c r="J267" s="5" t="s">
        <v>32</v>
      </c>
      <c r="K267" s="3" t="str">
        <f t="shared" si="4"/>
        <v>Medium Income</v>
      </c>
    </row>
    <row r="268" spans="1:11" x14ac:dyDescent="0.35">
      <c r="A268" s="4">
        <v>267</v>
      </c>
      <c r="B268" s="3" t="s">
        <v>290</v>
      </c>
      <c r="C268" s="3" t="s">
        <v>11</v>
      </c>
      <c r="D268" s="3" t="s">
        <v>21</v>
      </c>
      <c r="E268" s="3">
        <v>52320</v>
      </c>
      <c r="F268" s="3">
        <v>191280</v>
      </c>
      <c r="G268" s="3" t="s">
        <v>13</v>
      </c>
      <c r="H268" s="3" t="s">
        <v>14</v>
      </c>
      <c r="I268" s="3">
        <v>827</v>
      </c>
      <c r="J268" s="5" t="s">
        <v>15</v>
      </c>
      <c r="K268" s="3" t="str">
        <f t="shared" si="4"/>
        <v>Medium Income</v>
      </c>
    </row>
    <row r="269" spans="1:11" x14ac:dyDescent="0.35">
      <c r="A269" s="4">
        <v>268</v>
      </c>
      <c r="B269" s="3" t="s">
        <v>291</v>
      </c>
      <c r="C269" s="3" t="s">
        <v>11</v>
      </c>
      <c r="D269" s="3" t="s">
        <v>21</v>
      </c>
      <c r="E269" s="3">
        <v>25388</v>
      </c>
      <c r="F269" s="3">
        <v>165262</v>
      </c>
      <c r="G269" s="3" t="s">
        <v>22</v>
      </c>
      <c r="H269" s="3" t="s">
        <v>14</v>
      </c>
      <c r="I269" s="3">
        <v>717</v>
      </c>
      <c r="J269" s="5" t="s">
        <v>24</v>
      </c>
      <c r="K269" s="3" t="str">
        <f t="shared" si="4"/>
        <v>Low Income</v>
      </c>
    </row>
    <row r="270" spans="1:11" x14ac:dyDescent="0.35">
      <c r="A270" s="4">
        <v>269</v>
      </c>
      <c r="B270" s="3" t="s">
        <v>292</v>
      </c>
      <c r="C270" s="3" t="s">
        <v>17</v>
      </c>
      <c r="D270" s="3" t="s">
        <v>18</v>
      </c>
      <c r="E270" s="3">
        <v>32819</v>
      </c>
      <c r="F270" s="3">
        <v>371394</v>
      </c>
      <c r="G270" s="3" t="s">
        <v>22</v>
      </c>
      <c r="H270" s="3" t="s">
        <v>14</v>
      </c>
      <c r="I270" s="3">
        <v>375</v>
      </c>
      <c r="J270" s="5" t="s">
        <v>15</v>
      </c>
      <c r="K270" s="3" t="str">
        <f t="shared" si="4"/>
        <v>Low Income</v>
      </c>
    </row>
    <row r="271" spans="1:11" x14ac:dyDescent="0.35">
      <c r="A271" s="4">
        <v>270</v>
      </c>
      <c r="B271" s="3" t="s">
        <v>293</v>
      </c>
      <c r="C271" s="3" t="s">
        <v>11</v>
      </c>
      <c r="D271" s="3" t="s">
        <v>12</v>
      </c>
      <c r="E271" s="3">
        <v>119331</v>
      </c>
      <c r="F271" s="3">
        <v>25157</v>
      </c>
      <c r="G271" s="3" t="s">
        <v>13</v>
      </c>
      <c r="H271" s="3" t="s">
        <v>23</v>
      </c>
      <c r="I271" s="3">
        <v>711</v>
      </c>
      <c r="J271" s="5" t="s">
        <v>24</v>
      </c>
      <c r="K271" s="3" t="str">
        <f t="shared" si="4"/>
        <v>High Income</v>
      </c>
    </row>
    <row r="272" spans="1:11" x14ac:dyDescent="0.35">
      <c r="A272" s="4">
        <v>271</v>
      </c>
      <c r="B272" s="3" t="s">
        <v>294</v>
      </c>
      <c r="C272" s="3" t="s">
        <v>11</v>
      </c>
      <c r="D272" s="3" t="s">
        <v>21</v>
      </c>
      <c r="E272" s="3">
        <v>91032</v>
      </c>
      <c r="F272" s="3">
        <v>431809</v>
      </c>
      <c r="G272" s="3" t="s">
        <v>13</v>
      </c>
      <c r="H272" s="3" t="s">
        <v>19</v>
      </c>
      <c r="I272" s="3">
        <v>820</v>
      </c>
      <c r="J272" s="5" t="s">
        <v>24</v>
      </c>
      <c r="K272" s="3" t="str">
        <f t="shared" si="4"/>
        <v>High Income</v>
      </c>
    </row>
    <row r="273" spans="1:11" x14ac:dyDescent="0.35">
      <c r="A273" s="4">
        <v>272</v>
      </c>
      <c r="B273" s="3" t="s">
        <v>295</v>
      </c>
      <c r="C273" s="3" t="s">
        <v>17</v>
      </c>
      <c r="D273" s="3" t="s">
        <v>21</v>
      </c>
      <c r="E273" s="3">
        <v>72660</v>
      </c>
      <c r="F273" s="3">
        <v>166881</v>
      </c>
      <c r="G273" s="3" t="s">
        <v>13</v>
      </c>
      <c r="H273" s="3" t="s">
        <v>26</v>
      </c>
      <c r="I273" s="3">
        <v>819</v>
      </c>
      <c r="J273" s="5" t="s">
        <v>15</v>
      </c>
      <c r="K273" s="3" t="str">
        <f t="shared" si="4"/>
        <v>Medium Income</v>
      </c>
    </row>
    <row r="274" spans="1:11" x14ac:dyDescent="0.35">
      <c r="A274" s="4">
        <v>273</v>
      </c>
      <c r="B274" s="3" t="s">
        <v>296</v>
      </c>
      <c r="C274" s="3" t="s">
        <v>17</v>
      </c>
      <c r="D274" s="3" t="s">
        <v>18</v>
      </c>
      <c r="E274" s="3">
        <v>26456</v>
      </c>
      <c r="F274" s="3">
        <v>335666</v>
      </c>
      <c r="G274" s="3" t="s">
        <v>22</v>
      </c>
      <c r="H274" s="3" t="s">
        <v>26</v>
      </c>
      <c r="I274" s="3">
        <v>533</v>
      </c>
      <c r="J274" s="5" t="s">
        <v>15</v>
      </c>
      <c r="K274" s="3" t="str">
        <f t="shared" si="4"/>
        <v>Low Income</v>
      </c>
    </row>
    <row r="275" spans="1:11" x14ac:dyDescent="0.35">
      <c r="A275" s="4">
        <v>274</v>
      </c>
      <c r="B275" s="3" t="s">
        <v>297</v>
      </c>
      <c r="C275" s="3" t="s">
        <v>11</v>
      </c>
      <c r="D275" s="3" t="s">
        <v>18</v>
      </c>
      <c r="E275" s="3">
        <v>80522</v>
      </c>
      <c r="F275" s="3">
        <v>481612</v>
      </c>
      <c r="G275" s="3" t="s">
        <v>13</v>
      </c>
      <c r="H275" s="3" t="s">
        <v>14</v>
      </c>
      <c r="I275" s="3">
        <v>646</v>
      </c>
      <c r="J275" s="5" t="s">
        <v>32</v>
      </c>
      <c r="K275" s="3" t="str">
        <f t="shared" si="4"/>
        <v>High Income</v>
      </c>
    </row>
    <row r="276" spans="1:11" x14ac:dyDescent="0.35">
      <c r="A276" s="4">
        <v>275</v>
      </c>
      <c r="B276" s="3" t="s">
        <v>298</v>
      </c>
      <c r="C276" s="3" t="s">
        <v>17</v>
      </c>
      <c r="D276" s="3" t="s">
        <v>12</v>
      </c>
      <c r="E276" s="3">
        <v>24641</v>
      </c>
      <c r="F276" s="3">
        <v>185547</v>
      </c>
      <c r="G276" s="3" t="s">
        <v>22</v>
      </c>
      <c r="H276" s="3" t="s">
        <v>23</v>
      </c>
      <c r="I276" s="3">
        <v>624</v>
      </c>
      <c r="J276" s="5" t="s">
        <v>24</v>
      </c>
      <c r="K276" s="3" t="str">
        <f t="shared" si="4"/>
        <v>Low Income</v>
      </c>
    </row>
    <row r="277" spans="1:11" x14ac:dyDescent="0.35">
      <c r="A277" s="4">
        <v>276</v>
      </c>
      <c r="B277" s="3" t="s">
        <v>299</v>
      </c>
      <c r="C277" s="3" t="s">
        <v>11</v>
      </c>
      <c r="D277" s="3" t="s">
        <v>21</v>
      </c>
      <c r="E277" s="3">
        <v>36798</v>
      </c>
      <c r="F277" s="3">
        <v>433338</v>
      </c>
      <c r="G277" s="3" t="s">
        <v>22</v>
      </c>
      <c r="H277" s="3" t="s">
        <v>23</v>
      </c>
      <c r="I277" s="3">
        <v>492</v>
      </c>
      <c r="J277" s="5" t="s">
        <v>15</v>
      </c>
      <c r="K277" s="3" t="str">
        <f t="shared" si="4"/>
        <v>Low Income</v>
      </c>
    </row>
    <row r="278" spans="1:11" x14ac:dyDescent="0.35">
      <c r="A278" s="4">
        <v>277</v>
      </c>
      <c r="B278" s="3" t="s">
        <v>300</v>
      </c>
      <c r="C278" s="3" t="s">
        <v>11</v>
      </c>
      <c r="D278" s="3" t="s">
        <v>21</v>
      </c>
      <c r="E278" s="3">
        <v>94274</v>
      </c>
      <c r="F278" s="3">
        <v>152351</v>
      </c>
      <c r="G278" s="3" t="s">
        <v>22</v>
      </c>
      <c r="H278" s="3" t="s">
        <v>23</v>
      </c>
      <c r="I278" s="3">
        <v>560</v>
      </c>
      <c r="J278" s="5" t="s">
        <v>15</v>
      </c>
      <c r="K278" s="3" t="str">
        <f t="shared" si="4"/>
        <v>High Income</v>
      </c>
    </row>
    <row r="279" spans="1:11" x14ac:dyDescent="0.35">
      <c r="A279" s="4">
        <v>278</v>
      </c>
      <c r="B279" s="3" t="s">
        <v>301</v>
      </c>
      <c r="C279" s="3" t="s">
        <v>11</v>
      </c>
      <c r="D279" s="3" t="s">
        <v>12</v>
      </c>
      <c r="E279" s="3">
        <v>35211</v>
      </c>
      <c r="F279" s="3">
        <v>116267</v>
      </c>
      <c r="G279" s="3" t="s">
        <v>22</v>
      </c>
      <c r="H279" s="3" t="s">
        <v>19</v>
      </c>
      <c r="I279" s="3">
        <v>872</v>
      </c>
      <c r="J279" s="5" t="s">
        <v>24</v>
      </c>
      <c r="K279" s="3" t="str">
        <f t="shared" si="4"/>
        <v>Low Income</v>
      </c>
    </row>
    <row r="280" spans="1:11" x14ac:dyDescent="0.35">
      <c r="A280" s="4">
        <v>279</v>
      </c>
      <c r="B280" s="3" t="s">
        <v>302</v>
      </c>
      <c r="C280" s="3" t="s">
        <v>17</v>
      </c>
      <c r="D280" s="3" t="s">
        <v>21</v>
      </c>
      <c r="E280" s="3">
        <v>27880</v>
      </c>
      <c r="F280" s="3">
        <v>41626</v>
      </c>
      <c r="G280" s="3" t="s">
        <v>13</v>
      </c>
      <c r="H280" s="3" t="s">
        <v>23</v>
      </c>
      <c r="I280" s="3">
        <v>679</v>
      </c>
      <c r="J280" s="5" t="s">
        <v>15</v>
      </c>
      <c r="K280" s="3" t="str">
        <f t="shared" si="4"/>
        <v>Low Income</v>
      </c>
    </row>
    <row r="281" spans="1:11" x14ac:dyDescent="0.35">
      <c r="A281" s="4">
        <v>280</v>
      </c>
      <c r="B281" s="3" t="s">
        <v>303</v>
      </c>
      <c r="C281" s="3" t="s">
        <v>17</v>
      </c>
      <c r="D281" s="3" t="s">
        <v>21</v>
      </c>
      <c r="E281" s="3">
        <v>70873</v>
      </c>
      <c r="F281" s="3">
        <v>299238</v>
      </c>
      <c r="G281" s="3" t="s">
        <v>22</v>
      </c>
      <c r="H281" s="3" t="s">
        <v>14</v>
      </c>
      <c r="I281" s="3">
        <v>418</v>
      </c>
      <c r="J281" s="5" t="s">
        <v>15</v>
      </c>
      <c r="K281" s="3" t="str">
        <f t="shared" si="4"/>
        <v>Medium Income</v>
      </c>
    </row>
    <row r="282" spans="1:11" x14ac:dyDescent="0.35">
      <c r="A282" s="4">
        <v>281</v>
      </c>
      <c r="B282" s="3" t="s">
        <v>304</v>
      </c>
      <c r="C282" s="3" t="s">
        <v>11</v>
      </c>
      <c r="D282" s="3" t="s">
        <v>21</v>
      </c>
      <c r="E282" s="3">
        <v>36700</v>
      </c>
      <c r="F282" s="3">
        <v>487559</v>
      </c>
      <c r="G282" s="3" t="s">
        <v>13</v>
      </c>
      <c r="H282" s="3" t="s">
        <v>19</v>
      </c>
      <c r="I282" s="3">
        <v>316</v>
      </c>
      <c r="J282" s="5" t="s">
        <v>32</v>
      </c>
      <c r="K282" s="3" t="str">
        <f t="shared" si="4"/>
        <v>Low Income</v>
      </c>
    </row>
    <row r="283" spans="1:11" x14ac:dyDescent="0.35">
      <c r="A283" s="4">
        <v>282</v>
      </c>
      <c r="B283" s="3" t="s">
        <v>305</v>
      </c>
      <c r="C283" s="3" t="s">
        <v>17</v>
      </c>
      <c r="D283" s="3" t="s">
        <v>21</v>
      </c>
      <c r="E283" s="3">
        <v>99755</v>
      </c>
      <c r="F283" s="3">
        <v>423778</v>
      </c>
      <c r="G283" s="3" t="s">
        <v>13</v>
      </c>
      <c r="H283" s="3" t="s">
        <v>23</v>
      </c>
      <c r="I283" s="3">
        <v>635</v>
      </c>
      <c r="J283" s="5" t="s">
        <v>32</v>
      </c>
      <c r="K283" s="3" t="str">
        <f t="shared" si="4"/>
        <v>High Income</v>
      </c>
    </row>
    <row r="284" spans="1:11" x14ac:dyDescent="0.35">
      <c r="A284" s="4">
        <v>283</v>
      </c>
      <c r="B284" s="3" t="s">
        <v>306</v>
      </c>
      <c r="C284" s="3" t="s">
        <v>17</v>
      </c>
      <c r="D284" s="3" t="s">
        <v>21</v>
      </c>
      <c r="E284" s="3">
        <v>71293</v>
      </c>
      <c r="F284" s="3">
        <v>247341</v>
      </c>
      <c r="G284" s="3" t="s">
        <v>13</v>
      </c>
      <c r="H284" s="3" t="s">
        <v>23</v>
      </c>
      <c r="I284" s="3">
        <v>856</v>
      </c>
      <c r="J284" s="5" t="s">
        <v>24</v>
      </c>
      <c r="K284" s="3" t="str">
        <f t="shared" si="4"/>
        <v>Medium Income</v>
      </c>
    </row>
    <row r="285" spans="1:11" x14ac:dyDescent="0.35">
      <c r="A285" s="4">
        <v>284</v>
      </c>
      <c r="B285" s="3" t="s">
        <v>307</v>
      </c>
      <c r="C285" s="3" t="s">
        <v>17</v>
      </c>
      <c r="D285" s="3" t="s">
        <v>12</v>
      </c>
      <c r="E285" s="3">
        <v>99410</v>
      </c>
      <c r="F285" s="3">
        <v>452100</v>
      </c>
      <c r="G285" s="3" t="s">
        <v>22</v>
      </c>
      <c r="H285" s="3" t="s">
        <v>23</v>
      </c>
      <c r="I285" s="3">
        <v>863</v>
      </c>
      <c r="J285" s="5" t="s">
        <v>15</v>
      </c>
      <c r="K285" s="3" t="str">
        <f t="shared" si="4"/>
        <v>High Income</v>
      </c>
    </row>
    <row r="286" spans="1:11" x14ac:dyDescent="0.35">
      <c r="A286" s="4">
        <v>285</v>
      </c>
      <c r="B286" s="3" t="s">
        <v>308</v>
      </c>
      <c r="C286" s="3" t="s">
        <v>11</v>
      </c>
      <c r="D286" s="3" t="s">
        <v>18</v>
      </c>
      <c r="E286" s="3">
        <v>20387</v>
      </c>
      <c r="F286" s="3">
        <v>182549</v>
      </c>
      <c r="G286" s="3" t="s">
        <v>13</v>
      </c>
      <c r="H286" s="3" t="s">
        <v>14</v>
      </c>
      <c r="I286" s="3">
        <v>351</v>
      </c>
      <c r="J286" s="5" t="s">
        <v>24</v>
      </c>
      <c r="K286" s="3" t="str">
        <f t="shared" si="4"/>
        <v>Low Income</v>
      </c>
    </row>
    <row r="287" spans="1:11" x14ac:dyDescent="0.35">
      <c r="A287" s="4">
        <v>286</v>
      </c>
      <c r="B287" s="3" t="s">
        <v>309</v>
      </c>
      <c r="C287" s="3" t="s">
        <v>17</v>
      </c>
      <c r="D287" s="3" t="s">
        <v>18</v>
      </c>
      <c r="E287" s="3">
        <v>59784</v>
      </c>
      <c r="F287" s="3">
        <v>461545</v>
      </c>
      <c r="G287" s="3" t="s">
        <v>22</v>
      </c>
      <c r="H287" s="3" t="s">
        <v>26</v>
      </c>
      <c r="I287" s="3">
        <v>693</v>
      </c>
      <c r="J287" s="5" t="s">
        <v>24</v>
      </c>
      <c r="K287" s="3" t="str">
        <f t="shared" si="4"/>
        <v>Medium Income</v>
      </c>
    </row>
    <row r="288" spans="1:11" x14ac:dyDescent="0.35">
      <c r="A288" s="4">
        <v>287</v>
      </c>
      <c r="B288" s="3" t="s">
        <v>310</v>
      </c>
      <c r="C288" s="3" t="s">
        <v>11</v>
      </c>
      <c r="D288" s="3" t="s">
        <v>18</v>
      </c>
      <c r="E288" s="3">
        <v>99319</v>
      </c>
      <c r="F288" s="3">
        <v>364193</v>
      </c>
      <c r="G288" s="3" t="s">
        <v>22</v>
      </c>
      <c r="H288" s="3" t="s">
        <v>26</v>
      </c>
      <c r="I288" s="3">
        <v>623</v>
      </c>
      <c r="J288" s="5" t="s">
        <v>24</v>
      </c>
      <c r="K288" s="3" t="str">
        <f t="shared" si="4"/>
        <v>High Income</v>
      </c>
    </row>
    <row r="289" spans="1:11" x14ac:dyDescent="0.35">
      <c r="A289" s="4">
        <v>288</v>
      </c>
      <c r="B289" s="3" t="s">
        <v>311</v>
      </c>
      <c r="C289" s="3" t="s">
        <v>17</v>
      </c>
      <c r="D289" s="3" t="s">
        <v>21</v>
      </c>
      <c r="E289" s="3">
        <v>50820</v>
      </c>
      <c r="F289" s="3">
        <v>145411</v>
      </c>
      <c r="G289" s="3" t="s">
        <v>22</v>
      </c>
      <c r="H289" s="3" t="s">
        <v>23</v>
      </c>
      <c r="I289" s="3">
        <v>530</v>
      </c>
      <c r="J289" s="5" t="s">
        <v>24</v>
      </c>
      <c r="K289" s="3" t="str">
        <f t="shared" si="4"/>
        <v>Medium Income</v>
      </c>
    </row>
    <row r="290" spans="1:11" x14ac:dyDescent="0.35">
      <c r="A290" s="4">
        <v>289</v>
      </c>
      <c r="B290" s="3" t="s">
        <v>312</v>
      </c>
      <c r="C290" s="3" t="s">
        <v>17</v>
      </c>
      <c r="D290" s="3" t="s">
        <v>12</v>
      </c>
      <c r="E290" s="3">
        <v>47686</v>
      </c>
      <c r="F290" s="3">
        <v>353219</v>
      </c>
      <c r="G290" s="3" t="s">
        <v>22</v>
      </c>
      <c r="H290" s="3" t="s">
        <v>19</v>
      </c>
      <c r="I290" s="3">
        <v>592</v>
      </c>
      <c r="J290" s="5" t="s">
        <v>32</v>
      </c>
      <c r="K290" s="3" t="str">
        <f t="shared" si="4"/>
        <v>Low Income</v>
      </c>
    </row>
    <row r="291" spans="1:11" x14ac:dyDescent="0.35">
      <c r="A291" s="4">
        <v>290</v>
      </c>
      <c r="B291" s="3" t="s">
        <v>313</v>
      </c>
      <c r="C291" s="3" t="s">
        <v>11</v>
      </c>
      <c r="D291" s="3" t="s">
        <v>18</v>
      </c>
      <c r="E291" s="3">
        <v>79465</v>
      </c>
      <c r="F291" s="3">
        <v>290336</v>
      </c>
      <c r="G291" s="3" t="s">
        <v>22</v>
      </c>
      <c r="H291" s="3" t="s">
        <v>23</v>
      </c>
      <c r="I291" s="3">
        <v>818</v>
      </c>
      <c r="J291" s="5" t="s">
        <v>24</v>
      </c>
      <c r="K291" s="3" t="str">
        <f t="shared" si="4"/>
        <v>Medium Income</v>
      </c>
    </row>
    <row r="292" spans="1:11" x14ac:dyDescent="0.35">
      <c r="A292" s="4">
        <v>291</v>
      </c>
      <c r="B292" s="3" t="s">
        <v>314</v>
      </c>
      <c r="C292" s="3" t="s">
        <v>11</v>
      </c>
      <c r="D292" s="3" t="s">
        <v>21</v>
      </c>
      <c r="E292" s="3">
        <v>57322</v>
      </c>
      <c r="F292" s="3">
        <v>33691</v>
      </c>
      <c r="G292" s="3" t="s">
        <v>22</v>
      </c>
      <c r="H292" s="3" t="s">
        <v>14</v>
      </c>
      <c r="I292" s="3">
        <v>485</v>
      </c>
      <c r="J292" s="5" t="s">
        <v>24</v>
      </c>
      <c r="K292" s="3" t="str">
        <f t="shared" si="4"/>
        <v>Medium Income</v>
      </c>
    </row>
    <row r="293" spans="1:11" x14ac:dyDescent="0.35">
      <c r="A293" s="4">
        <v>292</v>
      </c>
      <c r="B293" s="3" t="s">
        <v>315</v>
      </c>
      <c r="C293" s="3" t="s">
        <v>11</v>
      </c>
      <c r="D293" s="3" t="s">
        <v>21</v>
      </c>
      <c r="E293" s="3">
        <v>41815</v>
      </c>
      <c r="F293" s="3">
        <v>349098</v>
      </c>
      <c r="G293" s="3" t="s">
        <v>13</v>
      </c>
      <c r="H293" s="3" t="s">
        <v>19</v>
      </c>
      <c r="I293" s="3">
        <v>523</v>
      </c>
      <c r="J293" s="5" t="s">
        <v>32</v>
      </c>
      <c r="K293" s="3" t="str">
        <f t="shared" si="4"/>
        <v>Low Income</v>
      </c>
    </row>
    <row r="294" spans="1:11" x14ac:dyDescent="0.35">
      <c r="A294" s="4">
        <v>293</v>
      </c>
      <c r="B294" s="3" t="s">
        <v>316</v>
      </c>
      <c r="C294" s="3" t="s">
        <v>17</v>
      </c>
      <c r="D294" s="3" t="s">
        <v>12</v>
      </c>
      <c r="E294" s="3">
        <v>36440</v>
      </c>
      <c r="F294" s="3">
        <v>409022</v>
      </c>
      <c r="G294" s="3" t="s">
        <v>22</v>
      </c>
      <c r="H294" s="3" t="s">
        <v>14</v>
      </c>
      <c r="I294" s="3">
        <v>778</v>
      </c>
      <c r="J294" s="5" t="s">
        <v>15</v>
      </c>
      <c r="K294" s="3" t="str">
        <f t="shared" si="4"/>
        <v>Low Income</v>
      </c>
    </row>
    <row r="295" spans="1:11" x14ac:dyDescent="0.35">
      <c r="A295" s="4">
        <v>294</v>
      </c>
      <c r="B295" s="3" t="s">
        <v>317</v>
      </c>
      <c r="C295" s="3" t="s">
        <v>17</v>
      </c>
      <c r="D295" s="3" t="s">
        <v>21</v>
      </c>
      <c r="E295" s="3">
        <v>58353</v>
      </c>
      <c r="F295" s="3">
        <v>93491</v>
      </c>
      <c r="G295" s="3" t="s">
        <v>22</v>
      </c>
      <c r="H295" s="3" t="s">
        <v>23</v>
      </c>
      <c r="I295" s="3">
        <v>791</v>
      </c>
      <c r="J295" s="5" t="s">
        <v>32</v>
      </c>
      <c r="K295" s="3" t="str">
        <f t="shared" si="4"/>
        <v>Medium Income</v>
      </c>
    </row>
    <row r="296" spans="1:11" x14ac:dyDescent="0.35">
      <c r="A296" s="4">
        <v>295</v>
      </c>
      <c r="B296" s="3" t="s">
        <v>318</v>
      </c>
      <c r="C296" s="3" t="s">
        <v>11</v>
      </c>
      <c r="D296" s="3" t="s">
        <v>18</v>
      </c>
      <c r="E296" s="3">
        <v>29891</v>
      </c>
      <c r="F296" s="3">
        <v>396075</v>
      </c>
      <c r="G296" s="3" t="s">
        <v>22</v>
      </c>
      <c r="H296" s="3" t="s">
        <v>14</v>
      </c>
      <c r="I296" s="3">
        <v>615</v>
      </c>
      <c r="J296" s="5" t="s">
        <v>15</v>
      </c>
      <c r="K296" s="3" t="str">
        <f t="shared" si="4"/>
        <v>Low Income</v>
      </c>
    </row>
    <row r="297" spans="1:11" x14ac:dyDescent="0.35">
      <c r="A297" s="4">
        <v>296</v>
      </c>
      <c r="B297" s="3" t="s">
        <v>319</v>
      </c>
      <c r="C297" s="3" t="s">
        <v>11</v>
      </c>
      <c r="D297" s="3" t="s">
        <v>18</v>
      </c>
      <c r="E297" s="3">
        <v>87364</v>
      </c>
      <c r="F297" s="3">
        <v>95886</v>
      </c>
      <c r="G297" s="3" t="s">
        <v>13</v>
      </c>
      <c r="H297" s="3" t="s">
        <v>23</v>
      </c>
      <c r="I297" s="3">
        <v>479</v>
      </c>
      <c r="J297" s="5" t="s">
        <v>32</v>
      </c>
      <c r="K297" s="3" t="str">
        <f t="shared" si="4"/>
        <v>High Income</v>
      </c>
    </row>
    <row r="298" spans="1:11" x14ac:dyDescent="0.35">
      <c r="A298" s="4">
        <v>297</v>
      </c>
      <c r="B298" s="3" t="s">
        <v>320</v>
      </c>
      <c r="C298" s="3" t="s">
        <v>11</v>
      </c>
      <c r="D298" s="3" t="s">
        <v>18</v>
      </c>
      <c r="E298" s="3">
        <v>40746</v>
      </c>
      <c r="F298" s="3">
        <v>332645</v>
      </c>
      <c r="G298" s="3" t="s">
        <v>22</v>
      </c>
      <c r="H298" s="3" t="s">
        <v>23</v>
      </c>
      <c r="I298" s="3">
        <v>501</v>
      </c>
      <c r="J298" s="5" t="s">
        <v>24</v>
      </c>
      <c r="K298" s="3" t="str">
        <f t="shared" si="4"/>
        <v>Low Income</v>
      </c>
    </row>
    <row r="299" spans="1:11" x14ac:dyDescent="0.35">
      <c r="A299" s="4">
        <v>298</v>
      </c>
      <c r="B299" s="3" t="s">
        <v>321</v>
      </c>
      <c r="C299" s="3" t="s">
        <v>11</v>
      </c>
      <c r="D299" s="3" t="s">
        <v>18</v>
      </c>
      <c r="E299" s="3">
        <v>24962</v>
      </c>
      <c r="F299" s="3">
        <v>188749</v>
      </c>
      <c r="G299" s="3" t="s">
        <v>13</v>
      </c>
      <c r="H299" s="3" t="s">
        <v>19</v>
      </c>
      <c r="I299" s="3">
        <v>681</v>
      </c>
      <c r="J299" s="5" t="s">
        <v>24</v>
      </c>
      <c r="K299" s="3" t="str">
        <f t="shared" si="4"/>
        <v>Low Income</v>
      </c>
    </row>
    <row r="300" spans="1:11" x14ac:dyDescent="0.35">
      <c r="A300" s="4">
        <v>299</v>
      </c>
      <c r="B300" s="3" t="s">
        <v>322</v>
      </c>
      <c r="C300" s="3" t="s">
        <v>17</v>
      </c>
      <c r="D300" s="3" t="s">
        <v>18</v>
      </c>
      <c r="E300" s="3">
        <v>82827</v>
      </c>
      <c r="F300" s="3">
        <v>149823</v>
      </c>
      <c r="G300" s="3" t="s">
        <v>13</v>
      </c>
      <c r="H300" s="3" t="s">
        <v>19</v>
      </c>
      <c r="I300" s="3">
        <v>378</v>
      </c>
      <c r="J300" s="5" t="s">
        <v>15</v>
      </c>
      <c r="K300" s="3" t="str">
        <f t="shared" si="4"/>
        <v>High Income</v>
      </c>
    </row>
    <row r="301" spans="1:11" x14ac:dyDescent="0.35">
      <c r="A301" s="4">
        <v>300</v>
      </c>
      <c r="B301" s="3" t="s">
        <v>323</v>
      </c>
      <c r="C301" s="3" t="s">
        <v>17</v>
      </c>
      <c r="D301" s="3" t="s">
        <v>18</v>
      </c>
      <c r="E301" s="3">
        <v>55970</v>
      </c>
      <c r="F301" s="3">
        <v>24841</v>
      </c>
      <c r="G301" s="3" t="s">
        <v>13</v>
      </c>
      <c r="H301" s="3" t="s">
        <v>26</v>
      </c>
      <c r="I301" s="3">
        <v>694</v>
      </c>
      <c r="J301" s="5" t="s">
        <v>24</v>
      </c>
      <c r="K301" s="3" t="str">
        <f t="shared" si="4"/>
        <v>Medium Income</v>
      </c>
    </row>
    <row r="302" spans="1:11" x14ac:dyDescent="0.35">
      <c r="A302" s="4">
        <v>301</v>
      </c>
      <c r="B302" s="3" t="s">
        <v>324</v>
      </c>
      <c r="C302" s="3" t="s">
        <v>17</v>
      </c>
      <c r="D302" s="3" t="s">
        <v>12</v>
      </c>
      <c r="E302" s="3">
        <v>48302</v>
      </c>
      <c r="F302" s="3">
        <v>180550</v>
      </c>
      <c r="G302" s="3" t="s">
        <v>22</v>
      </c>
      <c r="H302" s="3" t="s">
        <v>14</v>
      </c>
      <c r="I302" s="3">
        <v>813</v>
      </c>
      <c r="J302" s="5" t="s">
        <v>24</v>
      </c>
      <c r="K302" s="3" t="str">
        <f t="shared" si="4"/>
        <v>Low Income</v>
      </c>
    </row>
    <row r="303" spans="1:11" x14ac:dyDescent="0.35">
      <c r="A303" s="4">
        <v>302</v>
      </c>
      <c r="B303" s="3" t="s">
        <v>325</v>
      </c>
      <c r="C303" s="3" t="s">
        <v>11</v>
      </c>
      <c r="D303" s="3" t="s">
        <v>21</v>
      </c>
      <c r="E303" s="3">
        <v>29605</v>
      </c>
      <c r="F303" s="3">
        <v>315951</v>
      </c>
      <c r="G303" s="3" t="s">
        <v>13</v>
      </c>
      <c r="H303" s="3" t="s">
        <v>26</v>
      </c>
      <c r="I303" s="3">
        <v>335</v>
      </c>
      <c r="J303" s="5" t="s">
        <v>24</v>
      </c>
      <c r="K303" s="3" t="str">
        <f t="shared" si="4"/>
        <v>Low Income</v>
      </c>
    </row>
    <row r="304" spans="1:11" x14ac:dyDescent="0.35">
      <c r="A304" s="4">
        <v>303</v>
      </c>
      <c r="B304" s="3" t="s">
        <v>326</v>
      </c>
      <c r="C304" s="3" t="s">
        <v>11</v>
      </c>
      <c r="D304" s="3" t="s">
        <v>21</v>
      </c>
      <c r="E304" s="3">
        <v>68119</v>
      </c>
      <c r="F304" s="3">
        <v>252363</v>
      </c>
      <c r="G304" s="3" t="s">
        <v>13</v>
      </c>
      <c r="H304" s="3" t="s">
        <v>23</v>
      </c>
      <c r="I304" s="3">
        <v>826</v>
      </c>
      <c r="J304" s="5" t="s">
        <v>15</v>
      </c>
      <c r="K304" s="3" t="str">
        <f t="shared" si="4"/>
        <v>Medium Income</v>
      </c>
    </row>
    <row r="305" spans="1:11" x14ac:dyDescent="0.35">
      <c r="A305" s="4">
        <v>304</v>
      </c>
      <c r="B305" s="3" t="s">
        <v>327</v>
      </c>
      <c r="C305" s="3" t="s">
        <v>17</v>
      </c>
      <c r="D305" s="3" t="s">
        <v>21</v>
      </c>
      <c r="E305" s="3">
        <v>78789</v>
      </c>
      <c r="F305" s="3">
        <v>226806</v>
      </c>
      <c r="G305" s="3" t="s">
        <v>13</v>
      </c>
      <c r="H305" s="3" t="s">
        <v>26</v>
      </c>
      <c r="I305" s="3">
        <v>487</v>
      </c>
      <c r="J305" s="5" t="s">
        <v>24</v>
      </c>
      <c r="K305" s="3" t="str">
        <f t="shared" si="4"/>
        <v>Medium Income</v>
      </c>
    </row>
    <row r="306" spans="1:11" x14ac:dyDescent="0.35">
      <c r="A306" s="4">
        <v>305</v>
      </c>
      <c r="B306" s="3" t="s">
        <v>328</v>
      </c>
      <c r="C306" s="3" t="s">
        <v>11</v>
      </c>
      <c r="D306" s="3" t="s">
        <v>18</v>
      </c>
      <c r="E306" s="3">
        <v>52562</v>
      </c>
      <c r="F306" s="3">
        <v>384103</v>
      </c>
      <c r="G306" s="3" t="s">
        <v>13</v>
      </c>
      <c r="H306" s="3" t="s">
        <v>23</v>
      </c>
      <c r="I306" s="3">
        <v>578</v>
      </c>
      <c r="J306" s="5" t="s">
        <v>32</v>
      </c>
      <c r="K306" s="3" t="str">
        <f t="shared" si="4"/>
        <v>Medium Income</v>
      </c>
    </row>
    <row r="307" spans="1:11" x14ac:dyDescent="0.35">
      <c r="A307" s="4">
        <v>306</v>
      </c>
      <c r="B307" s="3" t="s">
        <v>329</v>
      </c>
      <c r="C307" s="3" t="s">
        <v>17</v>
      </c>
      <c r="D307" s="3" t="s">
        <v>18</v>
      </c>
      <c r="E307" s="3">
        <v>56998</v>
      </c>
      <c r="F307" s="3">
        <v>461788</v>
      </c>
      <c r="G307" s="3" t="s">
        <v>13</v>
      </c>
      <c r="H307" s="3" t="s">
        <v>14</v>
      </c>
      <c r="I307" s="3">
        <v>371</v>
      </c>
      <c r="J307" s="5" t="s">
        <v>24</v>
      </c>
      <c r="K307" s="3" t="str">
        <f t="shared" si="4"/>
        <v>Medium Income</v>
      </c>
    </row>
    <row r="308" spans="1:11" x14ac:dyDescent="0.35">
      <c r="A308" s="4">
        <v>307</v>
      </c>
      <c r="B308" s="3" t="s">
        <v>330</v>
      </c>
      <c r="C308" s="3" t="s">
        <v>11</v>
      </c>
      <c r="D308" s="3" t="s">
        <v>21</v>
      </c>
      <c r="E308" s="3">
        <v>99817</v>
      </c>
      <c r="F308" s="3">
        <v>340127</v>
      </c>
      <c r="G308" s="3" t="s">
        <v>13</v>
      </c>
      <c r="H308" s="3" t="s">
        <v>26</v>
      </c>
      <c r="I308" s="3">
        <v>597</v>
      </c>
      <c r="J308" s="5" t="s">
        <v>32</v>
      </c>
      <c r="K308" s="3" t="str">
        <f t="shared" si="4"/>
        <v>High Income</v>
      </c>
    </row>
    <row r="309" spans="1:11" x14ac:dyDescent="0.35">
      <c r="A309" s="4">
        <v>308</v>
      </c>
      <c r="B309" s="3" t="s">
        <v>331</v>
      </c>
      <c r="C309" s="3" t="s">
        <v>11</v>
      </c>
      <c r="D309" s="3" t="s">
        <v>21</v>
      </c>
      <c r="E309" s="3">
        <v>52465</v>
      </c>
      <c r="F309" s="3">
        <v>169612</v>
      </c>
      <c r="G309" s="3" t="s">
        <v>22</v>
      </c>
      <c r="H309" s="3" t="s">
        <v>19</v>
      </c>
      <c r="I309" s="3">
        <v>581</v>
      </c>
      <c r="J309" s="5" t="s">
        <v>24</v>
      </c>
      <c r="K309" s="3" t="str">
        <f t="shared" si="4"/>
        <v>Medium Income</v>
      </c>
    </row>
    <row r="310" spans="1:11" x14ac:dyDescent="0.35">
      <c r="A310" s="4">
        <v>309</v>
      </c>
      <c r="B310" s="3" t="s">
        <v>332</v>
      </c>
      <c r="C310" s="3" t="s">
        <v>17</v>
      </c>
      <c r="D310" s="3" t="s">
        <v>21</v>
      </c>
      <c r="E310" s="3">
        <v>107880</v>
      </c>
      <c r="F310" s="3">
        <v>429814</v>
      </c>
      <c r="G310" s="3" t="s">
        <v>22</v>
      </c>
      <c r="H310" s="3" t="s">
        <v>19</v>
      </c>
      <c r="I310" s="3">
        <v>706</v>
      </c>
      <c r="J310" s="5" t="s">
        <v>32</v>
      </c>
      <c r="K310" s="3" t="str">
        <f t="shared" si="4"/>
        <v>High Income</v>
      </c>
    </row>
    <row r="311" spans="1:11" x14ac:dyDescent="0.35">
      <c r="A311" s="4">
        <v>310</v>
      </c>
      <c r="B311" s="3" t="s">
        <v>333</v>
      </c>
      <c r="C311" s="3" t="s">
        <v>17</v>
      </c>
      <c r="D311" s="3" t="s">
        <v>12</v>
      </c>
      <c r="E311" s="3">
        <v>86918</v>
      </c>
      <c r="F311" s="3">
        <v>124902</v>
      </c>
      <c r="G311" s="3" t="s">
        <v>13</v>
      </c>
      <c r="H311" s="3" t="s">
        <v>19</v>
      </c>
      <c r="I311" s="3">
        <v>627</v>
      </c>
      <c r="J311" s="5" t="s">
        <v>32</v>
      </c>
      <c r="K311" s="3" t="str">
        <f t="shared" si="4"/>
        <v>High Income</v>
      </c>
    </row>
    <row r="312" spans="1:11" x14ac:dyDescent="0.35">
      <c r="A312" s="4">
        <v>311</v>
      </c>
      <c r="B312" s="3" t="s">
        <v>334</v>
      </c>
      <c r="C312" s="3" t="s">
        <v>17</v>
      </c>
      <c r="D312" s="3" t="s">
        <v>12</v>
      </c>
      <c r="E312" s="3">
        <v>87672</v>
      </c>
      <c r="F312" s="3">
        <v>480733</v>
      </c>
      <c r="G312" s="3" t="s">
        <v>22</v>
      </c>
      <c r="H312" s="3" t="s">
        <v>14</v>
      </c>
      <c r="I312" s="3">
        <v>843</v>
      </c>
      <c r="J312" s="5" t="s">
        <v>32</v>
      </c>
      <c r="K312" s="3" t="str">
        <f t="shared" si="4"/>
        <v>High Income</v>
      </c>
    </row>
    <row r="313" spans="1:11" x14ac:dyDescent="0.35">
      <c r="A313" s="4">
        <v>312</v>
      </c>
      <c r="B313" s="3" t="s">
        <v>335</v>
      </c>
      <c r="C313" s="3" t="s">
        <v>11</v>
      </c>
      <c r="D313" s="3" t="s">
        <v>12</v>
      </c>
      <c r="E313" s="3">
        <v>115510</v>
      </c>
      <c r="F313" s="3">
        <v>196330</v>
      </c>
      <c r="G313" s="3" t="s">
        <v>22</v>
      </c>
      <c r="H313" s="3" t="s">
        <v>23</v>
      </c>
      <c r="I313" s="3">
        <v>365</v>
      </c>
      <c r="J313" s="5" t="s">
        <v>24</v>
      </c>
      <c r="K313" s="3" t="str">
        <f t="shared" si="4"/>
        <v>High Income</v>
      </c>
    </row>
    <row r="314" spans="1:11" x14ac:dyDescent="0.35">
      <c r="A314" s="4">
        <v>313</v>
      </c>
      <c r="B314" s="3" t="s">
        <v>336</v>
      </c>
      <c r="C314" s="3" t="s">
        <v>17</v>
      </c>
      <c r="D314" s="3" t="s">
        <v>21</v>
      </c>
      <c r="E314" s="3">
        <v>39485</v>
      </c>
      <c r="F314" s="3">
        <v>280179</v>
      </c>
      <c r="G314" s="3" t="s">
        <v>22</v>
      </c>
      <c r="H314" s="3" t="s">
        <v>23</v>
      </c>
      <c r="I314" s="3">
        <v>368</v>
      </c>
      <c r="J314" s="5" t="s">
        <v>15</v>
      </c>
      <c r="K314" s="3" t="str">
        <f t="shared" si="4"/>
        <v>Low Income</v>
      </c>
    </row>
    <row r="315" spans="1:11" x14ac:dyDescent="0.35">
      <c r="A315" s="4">
        <v>314</v>
      </c>
      <c r="B315" s="3" t="s">
        <v>337</v>
      </c>
      <c r="C315" s="3" t="s">
        <v>11</v>
      </c>
      <c r="D315" s="3" t="s">
        <v>18</v>
      </c>
      <c r="E315" s="3">
        <v>21098</v>
      </c>
      <c r="F315" s="3">
        <v>438328</v>
      </c>
      <c r="G315" s="3" t="s">
        <v>13</v>
      </c>
      <c r="H315" s="3" t="s">
        <v>23</v>
      </c>
      <c r="I315" s="3">
        <v>580</v>
      </c>
      <c r="J315" s="5" t="s">
        <v>15</v>
      </c>
      <c r="K315" s="3" t="str">
        <f t="shared" si="4"/>
        <v>Low Income</v>
      </c>
    </row>
    <row r="316" spans="1:11" x14ac:dyDescent="0.35">
      <c r="A316" s="4">
        <v>315</v>
      </c>
      <c r="B316" s="3" t="s">
        <v>338</v>
      </c>
      <c r="C316" s="3" t="s">
        <v>11</v>
      </c>
      <c r="D316" s="3" t="s">
        <v>12</v>
      </c>
      <c r="E316" s="3">
        <v>75801</v>
      </c>
      <c r="F316" s="3">
        <v>69697</v>
      </c>
      <c r="G316" s="3" t="s">
        <v>13</v>
      </c>
      <c r="H316" s="3" t="s">
        <v>19</v>
      </c>
      <c r="I316" s="3">
        <v>516</v>
      </c>
      <c r="J316" s="5" t="s">
        <v>15</v>
      </c>
      <c r="K316" s="3" t="str">
        <f t="shared" si="4"/>
        <v>Medium Income</v>
      </c>
    </row>
    <row r="317" spans="1:11" x14ac:dyDescent="0.35">
      <c r="A317" s="4">
        <v>316</v>
      </c>
      <c r="B317" s="3" t="s">
        <v>339</v>
      </c>
      <c r="C317" s="3" t="s">
        <v>11</v>
      </c>
      <c r="D317" s="3" t="s">
        <v>18</v>
      </c>
      <c r="E317" s="3">
        <v>111773</v>
      </c>
      <c r="F317" s="3">
        <v>323316</v>
      </c>
      <c r="G317" s="3" t="s">
        <v>13</v>
      </c>
      <c r="H317" s="3" t="s">
        <v>23</v>
      </c>
      <c r="I317" s="3">
        <v>308</v>
      </c>
      <c r="J317" s="5" t="s">
        <v>32</v>
      </c>
      <c r="K317" s="3" t="str">
        <f t="shared" si="4"/>
        <v>High Income</v>
      </c>
    </row>
    <row r="318" spans="1:11" x14ac:dyDescent="0.35">
      <c r="A318" s="4">
        <v>317</v>
      </c>
      <c r="B318" s="3" t="s">
        <v>340</v>
      </c>
      <c r="C318" s="3" t="s">
        <v>17</v>
      </c>
      <c r="D318" s="3" t="s">
        <v>18</v>
      </c>
      <c r="E318" s="3">
        <v>97852</v>
      </c>
      <c r="F318" s="3">
        <v>261800</v>
      </c>
      <c r="G318" s="3" t="s">
        <v>13</v>
      </c>
      <c r="H318" s="3" t="s">
        <v>26</v>
      </c>
      <c r="I318" s="3">
        <v>520</v>
      </c>
      <c r="J318" s="5" t="s">
        <v>32</v>
      </c>
      <c r="K318" s="3" t="str">
        <f t="shared" si="4"/>
        <v>High Income</v>
      </c>
    </row>
    <row r="319" spans="1:11" x14ac:dyDescent="0.35">
      <c r="A319" s="4">
        <v>318</v>
      </c>
      <c r="B319" s="3" t="s">
        <v>341</v>
      </c>
      <c r="C319" s="3" t="s">
        <v>17</v>
      </c>
      <c r="D319" s="3" t="s">
        <v>21</v>
      </c>
      <c r="E319" s="3">
        <v>88865</v>
      </c>
      <c r="F319" s="3">
        <v>141613</v>
      </c>
      <c r="G319" s="3" t="s">
        <v>22</v>
      </c>
      <c r="H319" s="3" t="s">
        <v>23</v>
      </c>
      <c r="I319" s="3">
        <v>641</v>
      </c>
      <c r="J319" s="5" t="s">
        <v>24</v>
      </c>
      <c r="K319" s="3" t="str">
        <f t="shared" si="4"/>
        <v>High Income</v>
      </c>
    </row>
    <row r="320" spans="1:11" x14ac:dyDescent="0.35">
      <c r="A320" s="4">
        <v>319</v>
      </c>
      <c r="B320" s="3" t="s">
        <v>342</v>
      </c>
      <c r="C320" s="3" t="s">
        <v>17</v>
      </c>
      <c r="D320" s="3" t="s">
        <v>21</v>
      </c>
      <c r="E320" s="3">
        <v>119147</v>
      </c>
      <c r="F320" s="3">
        <v>72184</v>
      </c>
      <c r="G320" s="3" t="s">
        <v>22</v>
      </c>
      <c r="H320" s="3" t="s">
        <v>26</v>
      </c>
      <c r="I320" s="3">
        <v>486</v>
      </c>
      <c r="J320" s="5" t="s">
        <v>15</v>
      </c>
      <c r="K320" s="3" t="str">
        <f t="shared" si="4"/>
        <v>High Income</v>
      </c>
    </row>
    <row r="321" spans="1:11" x14ac:dyDescent="0.35">
      <c r="A321" s="4">
        <v>320</v>
      </c>
      <c r="B321" s="3" t="s">
        <v>343</v>
      </c>
      <c r="C321" s="3" t="s">
        <v>11</v>
      </c>
      <c r="D321" s="3" t="s">
        <v>12</v>
      </c>
      <c r="E321" s="3">
        <v>71823</v>
      </c>
      <c r="F321" s="3">
        <v>31223</v>
      </c>
      <c r="G321" s="3" t="s">
        <v>13</v>
      </c>
      <c r="H321" s="3" t="s">
        <v>14</v>
      </c>
      <c r="I321" s="3">
        <v>718</v>
      </c>
      <c r="J321" s="5" t="s">
        <v>24</v>
      </c>
      <c r="K321" s="3" t="str">
        <f t="shared" si="4"/>
        <v>Medium Income</v>
      </c>
    </row>
    <row r="322" spans="1:11" x14ac:dyDescent="0.35">
      <c r="A322" s="4">
        <v>321</v>
      </c>
      <c r="B322" s="3" t="s">
        <v>344</v>
      </c>
      <c r="C322" s="3" t="s">
        <v>17</v>
      </c>
      <c r="D322" s="3" t="s">
        <v>21</v>
      </c>
      <c r="E322" s="3">
        <v>36392</v>
      </c>
      <c r="F322" s="3">
        <v>198220</v>
      </c>
      <c r="G322" s="3" t="s">
        <v>13</v>
      </c>
      <c r="H322" s="3" t="s">
        <v>26</v>
      </c>
      <c r="I322" s="3">
        <v>721</v>
      </c>
      <c r="J322" s="5" t="s">
        <v>24</v>
      </c>
      <c r="K322" s="3" t="str">
        <f t="shared" ref="K322:K385" si="5">IF(E322&gt;80000,"High Income",IF(E322&gt;=50000,"Medium Income","Low Income"))</f>
        <v>Low Income</v>
      </c>
    </row>
    <row r="323" spans="1:11" x14ac:dyDescent="0.35">
      <c r="A323" s="4">
        <v>322</v>
      </c>
      <c r="B323" s="3" t="s">
        <v>345</v>
      </c>
      <c r="C323" s="3" t="s">
        <v>17</v>
      </c>
      <c r="D323" s="3" t="s">
        <v>12</v>
      </c>
      <c r="E323" s="3">
        <v>42053</v>
      </c>
      <c r="F323" s="3">
        <v>52908</v>
      </c>
      <c r="G323" s="3" t="s">
        <v>22</v>
      </c>
      <c r="H323" s="3" t="s">
        <v>23</v>
      </c>
      <c r="I323" s="3">
        <v>795</v>
      </c>
      <c r="J323" s="5" t="s">
        <v>15</v>
      </c>
      <c r="K323" s="3" t="str">
        <f t="shared" si="5"/>
        <v>Low Income</v>
      </c>
    </row>
    <row r="324" spans="1:11" x14ac:dyDescent="0.35">
      <c r="A324" s="4">
        <v>323</v>
      </c>
      <c r="B324" s="3" t="s">
        <v>346</v>
      </c>
      <c r="C324" s="3" t="s">
        <v>17</v>
      </c>
      <c r="D324" s="3" t="s">
        <v>18</v>
      </c>
      <c r="E324" s="3">
        <v>37646</v>
      </c>
      <c r="F324" s="3">
        <v>35899</v>
      </c>
      <c r="G324" s="3" t="s">
        <v>22</v>
      </c>
      <c r="H324" s="3" t="s">
        <v>14</v>
      </c>
      <c r="I324" s="3">
        <v>300</v>
      </c>
      <c r="J324" s="5" t="s">
        <v>24</v>
      </c>
      <c r="K324" s="3" t="str">
        <f t="shared" si="5"/>
        <v>Low Income</v>
      </c>
    </row>
    <row r="325" spans="1:11" x14ac:dyDescent="0.35">
      <c r="A325" s="4">
        <v>324</v>
      </c>
      <c r="B325" s="3" t="s">
        <v>347</v>
      </c>
      <c r="C325" s="3" t="s">
        <v>17</v>
      </c>
      <c r="D325" s="3" t="s">
        <v>21</v>
      </c>
      <c r="E325" s="3">
        <v>30594</v>
      </c>
      <c r="F325" s="3">
        <v>260603</v>
      </c>
      <c r="G325" s="3" t="s">
        <v>13</v>
      </c>
      <c r="H325" s="3" t="s">
        <v>19</v>
      </c>
      <c r="I325" s="3">
        <v>526</v>
      </c>
      <c r="J325" s="5" t="s">
        <v>15</v>
      </c>
      <c r="K325" s="3" t="str">
        <f t="shared" si="5"/>
        <v>Low Income</v>
      </c>
    </row>
    <row r="326" spans="1:11" x14ac:dyDescent="0.35">
      <c r="A326" s="4">
        <v>325</v>
      </c>
      <c r="B326" s="3" t="s">
        <v>348</v>
      </c>
      <c r="C326" s="3" t="s">
        <v>17</v>
      </c>
      <c r="D326" s="3" t="s">
        <v>12</v>
      </c>
      <c r="E326" s="3">
        <v>100119</v>
      </c>
      <c r="F326" s="3">
        <v>345453</v>
      </c>
      <c r="G326" s="3" t="s">
        <v>13</v>
      </c>
      <c r="H326" s="3" t="s">
        <v>26</v>
      </c>
      <c r="I326" s="3">
        <v>704</v>
      </c>
      <c r="J326" s="5" t="s">
        <v>24</v>
      </c>
      <c r="K326" s="3" t="str">
        <f t="shared" si="5"/>
        <v>High Income</v>
      </c>
    </row>
    <row r="327" spans="1:11" x14ac:dyDescent="0.35">
      <c r="A327" s="4">
        <v>326</v>
      </c>
      <c r="B327" s="3" t="s">
        <v>349</v>
      </c>
      <c r="C327" s="3" t="s">
        <v>11</v>
      </c>
      <c r="D327" s="3" t="s">
        <v>21</v>
      </c>
      <c r="E327" s="3">
        <v>39571</v>
      </c>
      <c r="F327" s="3">
        <v>87307</v>
      </c>
      <c r="G327" s="3" t="s">
        <v>22</v>
      </c>
      <c r="H327" s="3" t="s">
        <v>23</v>
      </c>
      <c r="I327" s="3">
        <v>348</v>
      </c>
      <c r="J327" s="5" t="s">
        <v>24</v>
      </c>
      <c r="K327" s="3" t="str">
        <f t="shared" si="5"/>
        <v>Low Income</v>
      </c>
    </row>
    <row r="328" spans="1:11" x14ac:dyDescent="0.35">
      <c r="A328" s="4">
        <v>327</v>
      </c>
      <c r="B328" s="3" t="s">
        <v>350</v>
      </c>
      <c r="C328" s="3" t="s">
        <v>17</v>
      </c>
      <c r="D328" s="3" t="s">
        <v>12</v>
      </c>
      <c r="E328" s="3">
        <v>78422</v>
      </c>
      <c r="F328" s="3">
        <v>50485</v>
      </c>
      <c r="G328" s="3" t="s">
        <v>13</v>
      </c>
      <c r="H328" s="3" t="s">
        <v>14</v>
      </c>
      <c r="I328" s="3">
        <v>648</v>
      </c>
      <c r="J328" s="5" t="s">
        <v>32</v>
      </c>
      <c r="K328" s="3" t="str">
        <f t="shared" si="5"/>
        <v>Medium Income</v>
      </c>
    </row>
    <row r="329" spans="1:11" x14ac:dyDescent="0.35">
      <c r="A329" s="4">
        <v>328</v>
      </c>
      <c r="B329" s="3" t="s">
        <v>351</v>
      </c>
      <c r="C329" s="3" t="s">
        <v>11</v>
      </c>
      <c r="D329" s="3" t="s">
        <v>21</v>
      </c>
      <c r="E329" s="3">
        <v>45917</v>
      </c>
      <c r="F329" s="3">
        <v>448175</v>
      </c>
      <c r="G329" s="3" t="s">
        <v>13</v>
      </c>
      <c r="H329" s="3" t="s">
        <v>14</v>
      </c>
      <c r="I329" s="3">
        <v>718</v>
      </c>
      <c r="J329" s="5" t="s">
        <v>32</v>
      </c>
      <c r="K329" s="3" t="str">
        <f t="shared" si="5"/>
        <v>Low Income</v>
      </c>
    </row>
    <row r="330" spans="1:11" x14ac:dyDescent="0.35">
      <c r="A330" s="4">
        <v>329</v>
      </c>
      <c r="B330" s="3" t="s">
        <v>352</v>
      </c>
      <c r="C330" s="3" t="s">
        <v>17</v>
      </c>
      <c r="D330" s="3" t="s">
        <v>12</v>
      </c>
      <c r="E330" s="3">
        <v>38301</v>
      </c>
      <c r="F330" s="3">
        <v>176842</v>
      </c>
      <c r="G330" s="3" t="s">
        <v>22</v>
      </c>
      <c r="H330" s="3" t="s">
        <v>19</v>
      </c>
      <c r="I330" s="3">
        <v>855</v>
      </c>
      <c r="J330" s="5" t="s">
        <v>15</v>
      </c>
      <c r="K330" s="3" t="str">
        <f t="shared" si="5"/>
        <v>Low Income</v>
      </c>
    </row>
    <row r="331" spans="1:11" x14ac:dyDescent="0.35">
      <c r="A331" s="4">
        <v>330</v>
      </c>
      <c r="B331" s="3" t="s">
        <v>353</v>
      </c>
      <c r="C331" s="3" t="s">
        <v>11</v>
      </c>
      <c r="D331" s="3" t="s">
        <v>21</v>
      </c>
      <c r="E331" s="3">
        <v>107164</v>
      </c>
      <c r="F331" s="3">
        <v>27812</v>
      </c>
      <c r="G331" s="3" t="s">
        <v>22</v>
      </c>
      <c r="H331" s="3" t="s">
        <v>26</v>
      </c>
      <c r="I331" s="3">
        <v>886</v>
      </c>
      <c r="J331" s="5" t="s">
        <v>15</v>
      </c>
      <c r="K331" s="3" t="str">
        <f t="shared" si="5"/>
        <v>High Income</v>
      </c>
    </row>
    <row r="332" spans="1:11" x14ac:dyDescent="0.35">
      <c r="A332" s="4">
        <v>331</v>
      </c>
      <c r="B332" s="3" t="s">
        <v>354</v>
      </c>
      <c r="C332" s="3" t="s">
        <v>17</v>
      </c>
      <c r="D332" s="3" t="s">
        <v>18</v>
      </c>
      <c r="E332" s="3">
        <v>71993</v>
      </c>
      <c r="F332" s="3">
        <v>132830</v>
      </c>
      <c r="G332" s="3" t="s">
        <v>13</v>
      </c>
      <c r="H332" s="3" t="s">
        <v>26</v>
      </c>
      <c r="I332" s="3">
        <v>491</v>
      </c>
      <c r="J332" s="5" t="s">
        <v>32</v>
      </c>
      <c r="K332" s="3" t="str">
        <f t="shared" si="5"/>
        <v>Medium Income</v>
      </c>
    </row>
    <row r="333" spans="1:11" x14ac:dyDescent="0.35">
      <c r="A333" s="4">
        <v>332</v>
      </c>
      <c r="B333" s="3" t="s">
        <v>355</v>
      </c>
      <c r="C333" s="3" t="s">
        <v>17</v>
      </c>
      <c r="D333" s="3" t="s">
        <v>18</v>
      </c>
      <c r="E333" s="3">
        <v>116825</v>
      </c>
      <c r="F333" s="3">
        <v>314339</v>
      </c>
      <c r="G333" s="3" t="s">
        <v>13</v>
      </c>
      <c r="H333" s="3" t="s">
        <v>26</v>
      </c>
      <c r="I333" s="3">
        <v>664</v>
      </c>
      <c r="J333" s="5" t="s">
        <v>15</v>
      </c>
      <c r="K333" s="3" t="str">
        <f t="shared" si="5"/>
        <v>High Income</v>
      </c>
    </row>
    <row r="334" spans="1:11" x14ac:dyDescent="0.35">
      <c r="A334" s="4">
        <v>333</v>
      </c>
      <c r="B334" s="3" t="s">
        <v>356</v>
      </c>
      <c r="C334" s="3" t="s">
        <v>17</v>
      </c>
      <c r="D334" s="3" t="s">
        <v>12</v>
      </c>
      <c r="E334" s="3">
        <v>52910</v>
      </c>
      <c r="F334" s="3">
        <v>372820</v>
      </c>
      <c r="G334" s="3" t="s">
        <v>22</v>
      </c>
      <c r="H334" s="3" t="s">
        <v>23</v>
      </c>
      <c r="I334" s="3">
        <v>442</v>
      </c>
      <c r="J334" s="5" t="s">
        <v>24</v>
      </c>
      <c r="K334" s="3" t="str">
        <f t="shared" si="5"/>
        <v>Medium Income</v>
      </c>
    </row>
    <row r="335" spans="1:11" x14ac:dyDescent="0.35">
      <c r="A335" s="4">
        <v>334</v>
      </c>
      <c r="B335" s="3" t="s">
        <v>357</v>
      </c>
      <c r="C335" s="3" t="s">
        <v>11</v>
      </c>
      <c r="D335" s="3" t="s">
        <v>12</v>
      </c>
      <c r="E335" s="3">
        <v>103261</v>
      </c>
      <c r="F335" s="3">
        <v>260233</v>
      </c>
      <c r="G335" s="3" t="s">
        <v>13</v>
      </c>
      <c r="H335" s="3" t="s">
        <v>19</v>
      </c>
      <c r="I335" s="3">
        <v>883</v>
      </c>
      <c r="J335" s="5" t="s">
        <v>15</v>
      </c>
      <c r="K335" s="3" t="str">
        <f t="shared" si="5"/>
        <v>High Income</v>
      </c>
    </row>
    <row r="336" spans="1:11" x14ac:dyDescent="0.35">
      <c r="A336" s="4">
        <v>335</v>
      </c>
      <c r="B336" s="3" t="s">
        <v>358</v>
      </c>
      <c r="C336" s="3" t="s">
        <v>11</v>
      </c>
      <c r="D336" s="3" t="s">
        <v>18</v>
      </c>
      <c r="E336" s="3">
        <v>20427</v>
      </c>
      <c r="F336" s="3">
        <v>265701</v>
      </c>
      <c r="G336" s="3" t="s">
        <v>22</v>
      </c>
      <c r="H336" s="3" t="s">
        <v>14</v>
      </c>
      <c r="I336" s="3">
        <v>516</v>
      </c>
      <c r="J336" s="5" t="s">
        <v>15</v>
      </c>
      <c r="K336" s="3" t="str">
        <f t="shared" si="5"/>
        <v>Low Income</v>
      </c>
    </row>
    <row r="337" spans="1:11" x14ac:dyDescent="0.35">
      <c r="A337" s="4">
        <v>336</v>
      </c>
      <c r="B337" s="3" t="s">
        <v>359</v>
      </c>
      <c r="C337" s="3" t="s">
        <v>17</v>
      </c>
      <c r="D337" s="3" t="s">
        <v>12</v>
      </c>
      <c r="E337" s="3">
        <v>106490</v>
      </c>
      <c r="F337" s="3">
        <v>427107</v>
      </c>
      <c r="G337" s="3" t="s">
        <v>13</v>
      </c>
      <c r="H337" s="3" t="s">
        <v>26</v>
      </c>
      <c r="I337" s="3">
        <v>772</v>
      </c>
      <c r="J337" s="5" t="s">
        <v>32</v>
      </c>
      <c r="K337" s="3" t="str">
        <f t="shared" si="5"/>
        <v>High Income</v>
      </c>
    </row>
    <row r="338" spans="1:11" x14ac:dyDescent="0.35">
      <c r="A338" s="4">
        <v>337</v>
      </c>
      <c r="B338" s="3" t="s">
        <v>360</v>
      </c>
      <c r="C338" s="3" t="s">
        <v>11</v>
      </c>
      <c r="D338" s="3" t="s">
        <v>12</v>
      </c>
      <c r="E338" s="3">
        <v>119003</v>
      </c>
      <c r="F338" s="3">
        <v>268729</v>
      </c>
      <c r="G338" s="3" t="s">
        <v>13</v>
      </c>
      <c r="H338" s="3" t="s">
        <v>23</v>
      </c>
      <c r="I338" s="3">
        <v>629</v>
      </c>
      <c r="J338" s="5" t="s">
        <v>24</v>
      </c>
      <c r="K338" s="3" t="str">
        <f t="shared" si="5"/>
        <v>High Income</v>
      </c>
    </row>
    <row r="339" spans="1:11" x14ac:dyDescent="0.35">
      <c r="A339" s="4">
        <v>338</v>
      </c>
      <c r="B339" s="3" t="s">
        <v>361</v>
      </c>
      <c r="C339" s="3" t="s">
        <v>17</v>
      </c>
      <c r="D339" s="3" t="s">
        <v>18</v>
      </c>
      <c r="E339" s="3">
        <v>68347</v>
      </c>
      <c r="F339" s="3">
        <v>70503</v>
      </c>
      <c r="G339" s="3" t="s">
        <v>13</v>
      </c>
      <c r="H339" s="3" t="s">
        <v>19</v>
      </c>
      <c r="I339" s="3">
        <v>800</v>
      </c>
      <c r="J339" s="5" t="s">
        <v>15</v>
      </c>
      <c r="K339" s="3" t="str">
        <f t="shared" si="5"/>
        <v>Medium Income</v>
      </c>
    </row>
    <row r="340" spans="1:11" x14ac:dyDescent="0.35">
      <c r="A340" s="4">
        <v>339</v>
      </c>
      <c r="B340" s="3" t="s">
        <v>362</v>
      </c>
      <c r="C340" s="3" t="s">
        <v>17</v>
      </c>
      <c r="D340" s="3" t="s">
        <v>18</v>
      </c>
      <c r="E340" s="3">
        <v>113850</v>
      </c>
      <c r="F340" s="3">
        <v>264061</v>
      </c>
      <c r="G340" s="3" t="s">
        <v>22</v>
      </c>
      <c r="H340" s="3" t="s">
        <v>26</v>
      </c>
      <c r="I340" s="3">
        <v>373</v>
      </c>
      <c r="J340" s="5" t="s">
        <v>24</v>
      </c>
      <c r="K340" s="3" t="str">
        <f t="shared" si="5"/>
        <v>High Income</v>
      </c>
    </row>
    <row r="341" spans="1:11" x14ac:dyDescent="0.35">
      <c r="A341" s="4">
        <v>340</v>
      </c>
      <c r="B341" s="3" t="s">
        <v>363</v>
      </c>
      <c r="C341" s="3" t="s">
        <v>11</v>
      </c>
      <c r="D341" s="3" t="s">
        <v>18</v>
      </c>
      <c r="E341" s="3">
        <v>110235</v>
      </c>
      <c r="F341" s="3">
        <v>250852</v>
      </c>
      <c r="G341" s="3" t="s">
        <v>13</v>
      </c>
      <c r="H341" s="3" t="s">
        <v>14</v>
      </c>
      <c r="I341" s="3">
        <v>686</v>
      </c>
      <c r="J341" s="5" t="s">
        <v>24</v>
      </c>
      <c r="K341" s="3" t="str">
        <f t="shared" si="5"/>
        <v>High Income</v>
      </c>
    </row>
    <row r="342" spans="1:11" x14ac:dyDescent="0.35">
      <c r="A342" s="4">
        <v>341</v>
      </c>
      <c r="B342" s="3" t="s">
        <v>364</v>
      </c>
      <c r="C342" s="3" t="s">
        <v>17</v>
      </c>
      <c r="D342" s="3" t="s">
        <v>21</v>
      </c>
      <c r="E342" s="3">
        <v>55035</v>
      </c>
      <c r="F342" s="3">
        <v>6206</v>
      </c>
      <c r="G342" s="3" t="s">
        <v>13</v>
      </c>
      <c r="H342" s="3" t="s">
        <v>14</v>
      </c>
      <c r="I342" s="3">
        <v>725</v>
      </c>
      <c r="J342" s="5" t="s">
        <v>15</v>
      </c>
      <c r="K342" s="3" t="str">
        <f t="shared" si="5"/>
        <v>Medium Income</v>
      </c>
    </row>
    <row r="343" spans="1:11" x14ac:dyDescent="0.35">
      <c r="A343" s="4">
        <v>342</v>
      </c>
      <c r="B343" s="3" t="s">
        <v>365</v>
      </c>
      <c r="C343" s="3" t="s">
        <v>17</v>
      </c>
      <c r="D343" s="3" t="s">
        <v>18</v>
      </c>
      <c r="E343" s="3">
        <v>55242</v>
      </c>
      <c r="F343" s="3">
        <v>469094</v>
      </c>
      <c r="G343" s="3" t="s">
        <v>22</v>
      </c>
      <c r="H343" s="3" t="s">
        <v>26</v>
      </c>
      <c r="I343" s="3">
        <v>661</v>
      </c>
      <c r="J343" s="5" t="s">
        <v>15</v>
      </c>
      <c r="K343" s="3" t="str">
        <f t="shared" si="5"/>
        <v>Medium Income</v>
      </c>
    </row>
    <row r="344" spans="1:11" x14ac:dyDescent="0.35">
      <c r="A344" s="4">
        <v>343</v>
      </c>
      <c r="B344" s="3" t="s">
        <v>366</v>
      </c>
      <c r="C344" s="3" t="s">
        <v>17</v>
      </c>
      <c r="D344" s="3" t="s">
        <v>18</v>
      </c>
      <c r="E344" s="3">
        <v>87005</v>
      </c>
      <c r="F344" s="3">
        <v>67582</v>
      </c>
      <c r="G344" s="3" t="s">
        <v>22</v>
      </c>
      <c r="H344" s="3" t="s">
        <v>26</v>
      </c>
      <c r="I344" s="3">
        <v>365</v>
      </c>
      <c r="J344" s="5" t="s">
        <v>24</v>
      </c>
      <c r="K344" s="3" t="str">
        <f t="shared" si="5"/>
        <v>High Income</v>
      </c>
    </row>
    <row r="345" spans="1:11" x14ac:dyDescent="0.35">
      <c r="A345" s="4">
        <v>344</v>
      </c>
      <c r="B345" s="3" t="s">
        <v>367</v>
      </c>
      <c r="C345" s="3" t="s">
        <v>17</v>
      </c>
      <c r="D345" s="3" t="s">
        <v>18</v>
      </c>
      <c r="E345" s="3">
        <v>79314</v>
      </c>
      <c r="F345" s="3">
        <v>86708</v>
      </c>
      <c r="G345" s="3" t="s">
        <v>22</v>
      </c>
      <c r="H345" s="3" t="s">
        <v>26</v>
      </c>
      <c r="I345" s="3">
        <v>327</v>
      </c>
      <c r="J345" s="5" t="s">
        <v>24</v>
      </c>
      <c r="K345" s="3" t="str">
        <f t="shared" si="5"/>
        <v>Medium Income</v>
      </c>
    </row>
    <row r="346" spans="1:11" x14ac:dyDescent="0.35">
      <c r="A346" s="4">
        <v>345</v>
      </c>
      <c r="B346" s="3" t="s">
        <v>368</v>
      </c>
      <c r="C346" s="3" t="s">
        <v>11</v>
      </c>
      <c r="D346" s="3" t="s">
        <v>21</v>
      </c>
      <c r="E346" s="3">
        <v>103697</v>
      </c>
      <c r="F346" s="3">
        <v>205215</v>
      </c>
      <c r="G346" s="3" t="s">
        <v>13</v>
      </c>
      <c r="H346" s="3" t="s">
        <v>14</v>
      </c>
      <c r="I346" s="3">
        <v>401</v>
      </c>
      <c r="J346" s="5" t="s">
        <v>15</v>
      </c>
      <c r="K346" s="3" t="str">
        <f t="shared" si="5"/>
        <v>High Income</v>
      </c>
    </row>
    <row r="347" spans="1:11" x14ac:dyDescent="0.35">
      <c r="A347" s="4">
        <v>346</v>
      </c>
      <c r="B347" s="3" t="s">
        <v>369</v>
      </c>
      <c r="C347" s="3" t="s">
        <v>17</v>
      </c>
      <c r="D347" s="3" t="s">
        <v>21</v>
      </c>
      <c r="E347" s="3">
        <v>102174</v>
      </c>
      <c r="F347" s="3">
        <v>456953</v>
      </c>
      <c r="G347" s="3" t="s">
        <v>13</v>
      </c>
      <c r="H347" s="3" t="s">
        <v>23</v>
      </c>
      <c r="I347" s="3">
        <v>823</v>
      </c>
      <c r="J347" s="5" t="s">
        <v>15</v>
      </c>
      <c r="K347" s="3" t="str">
        <f t="shared" si="5"/>
        <v>High Income</v>
      </c>
    </row>
    <row r="348" spans="1:11" x14ac:dyDescent="0.35">
      <c r="A348" s="4">
        <v>347</v>
      </c>
      <c r="B348" s="3" t="s">
        <v>370</v>
      </c>
      <c r="C348" s="3" t="s">
        <v>11</v>
      </c>
      <c r="D348" s="3" t="s">
        <v>18</v>
      </c>
      <c r="E348" s="3">
        <v>117098</v>
      </c>
      <c r="F348" s="3">
        <v>108608</v>
      </c>
      <c r="G348" s="3" t="s">
        <v>22</v>
      </c>
      <c r="H348" s="3" t="s">
        <v>19</v>
      </c>
      <c r="I348" s="3">
        <v>817</v>
      </c>
      <c r="J348" s="5" t="s">
        <v>32</v>
      </c>
      <c r="K348" s="3" t="str">
        <f t="shared" si="5"/>
        <v>High Income</v>
      </c>
    </row>
    <row r="349" spans="1:11" x14ac:dyDescent="0.35">
      <c r="A349" s="4">
        <v>348</v>
      </c>
      <c r="B349" s="3" t="s">
        <v>371</v>
      </c>
      <c r="C349" s="3" t="s">
        <v>17</v>
      </c>
      <c r="D349" s="3" t="s">
        <v>12</v>
      </c>
      <c r="E349" s="3">
        <v>73462</v>
      </c>
      <c r="F349" s="3">
        <v>206359</v>
      </c>
      <c r="G349" s="3" t="s">
        <v>13</v>
      </c>
      <c r="H349" s="3" t="s">
        <v>14</v>
      </c>
      <c r="I349" s="3">
        <v>820</v>
      </c>
      <c r="J349" s="5" t="s">
        <v>15</v>
      </c>
      <c r="K349" s="3" t="str">
        <f t="shared" si="5"/>
        <v>Medium Income</v>
      </c>
    </row>
    <row r="350" spans="1:11" x14ac:dyDescent="0.35">
      <c r="A350" s="4">
        <v>349</v>
      </c>
      <c r="B350" s="3" t="s">
        <v>372</v>
      </c>
      <c r="C350" s="3" t="s">
        <v>17</v>
      </c>
      <c r="D350" s="3" t="s">
        <v>12</v>
      </c>
      <c r="E350" s="3">
        <v>97114</v>
      </c>
      <c r="F350" s="3">
        <v>225507</v>
      </c>
      <c r="G350" s="3" t="s">
        <v>13</v>
      </c>
      <c r="H350" s="3" t="s">
        <v>26</v>
      </c>
      <c r="I350" s="3">
        <v>550</v>
      </c>
      <c r="J350" s="5" t="s">
        <v>24</v>
      </c>
      <c r="K350" s="3" t="str">
        <f t="shared" si="5"/>
        <v>High Income</v>
      </c>
    </row>
    <row r="351" spans="1:11" x14ac:dyDescent="0.35">
      <c r="A351" s="4">
        <v>350</v>
      </c>
      <c r="B351" s="3" t="s">
        <v>373</v>
      </c>
      <c r="C351" s="3" t="s">
        <v>17</v>
      </c>
      <c r="D351" s="3" t="s">
        <v>12</v>
      </c>
      <c r="E351" s="3">
        <v>47244</v>
      </c>
      <c r="F351" s="3">
        <v>135501</v>
      </c>
      <c r="G351" s="3" t="s">
        <v>22</v>
      </c>
      <c r="H351" s="3" t="s">
        <v>19</v>
      </c>
      <c r="I351" s="3">
        <v>554</v>
      </c>
      <c r="J351" s="5" t="s">
        <v>15</v>
      </c>
      <c r="K351" s="3" t="str">
        <f t="shared" si="5"/>
        <v>Low Income</v>
      </c>
    </row>
    <row r="352" spans="1:11" x14ac:dyDescent="0.35">
      <c r="A352" s="4">
        <v>351</v>
      </c>
      <c r="B352" s="3" t="s">
        <v>374</v>
      </c>
      <c r="C352" s="3" t="s">
        <v>11</v>
      </c>
      <c r="D352" s="3" t="s">
        <v>18</v>
      </c>
      <c r="E352" s="3">
        <v>34744</v>
      </c>
      <c r="F352" s="3">
        <v>211001</v>
      </c>
      <c r="G352" s="3" t="s">
        <v>22</v>
      </c>
      <c r="H352" s="3" t="s">
        <v>19</v>
      </c>
      <c r="I352" s="3">
        <v>353</v>
      </c>
      <c r="J352" s="5" t="s">
        <v>15</v>
      </c>
      <c r="K352" s="3" t="str">
        <f t="shared" si="5"/>
        <v>Low Income</v>
      </c>
    </row>
    <row r="353" spans="1:11" x14ac:dyDescent="0.35">
      <c r="A353" s="4">
        <v>352</v>
      </c>
      <c r="B353" s="3" t="s">
        <v>375</v>
      </c>
      <c r="C353" s="3" t="s">
        <v>11</v>
      </c>
      <c r="D353" s="3" t="s">
        <v>12</v>
      </c>
      <c r="E353" s="3">
        <v>47819</v>
      </c>
      <c r="F353" s="3">
        <v>173097</v>
      </c>
      <c r="G353" s="3" t="s">
        <v>13</v>
      </c>
      <c r="H353" s="3" t="s">
        <v>19</v>
      </c>
      <c r="I353" s="3">
        <v>756</v>
      </c>
      <c r="J353" s="5" t="s">
        <v>15</v>
      </c>
      <c r="K353" s="3" t="str">
        <f t="shared" si="5"/>
        <v>Low Income</v>
      </c>
    </row>
    <row r="354" spans="1:11" x14ac:dyDescent="0.35">
      <c r="A354" s="4">
        <v>353</v>
      </c>
      <c r="B354" s="3" t="s">
        <v>376</v>
      </c>
      <c r="C354" s="3" t="s">
        <v>17</v>
      </c>
      <c r="D354" s="3" t="s">
        <v>21</v>
      </c>
      <c r="E354" s="3">
        <v>83420</v>
      </c>
      <c r="F354" s="3">
        <v>304088</v>
      </c>
      <c r="G354" s="3" t="s">
        <v>13</v>
      </c>
      <c r="H354" s="3" t="s">
        <v>14</v>
      </c>
      <c r="I354" s="3">
        <v>622</v>
      </c>
      <c r="J354" s="5" t="s">
        <v>15</v>
      </c>
      <c r="K354" s="3" t="str">
        <f t="shared" si="5"/>
        <v>High Income</v>
      </c>
    </row>
    <row r="355" spans="1:11" x14ac:dyDescent="0.35">
      <c r="A355" s="4">
        <v>354</v>
      </c>
      <c r="B355" s="3" t="s">
        <v>377</v>
      </c>
      <c r="C355" s="3" t="s">
        <v>11</v>
      </c>
      <c r="D355" s="3" t="s">
        <v>21</v>
      </c>
      <c r="E355" s="3">
        <v>49967</v>
      </c>
      <c r="F355" s="3">
        <v>356070</v>
      </c>
      <c r="G355" s="3" t="s">
        <v>22</v>
      </c>
      <c r="H355" s="3" t="s">
        <v>23</v>
      </c>
      <c r="I355" s="3">
        <v>454</v>
      </c>
      <c r="J355" s="5" t="s">
        <v>15</v>
      </c>
      <c r="K355" s="3" t="str">
        <f t="shared" si="5"/>
        <v>Low Income</v>
      </c>
    </row>
    <row r="356" spans="1:11" x14ac:dyDescent="0.35">
      <c r="A356" s="4">
        <v>355</v>
      </c>
      <c r="B356" s="3" t="s">
        <v>378</v>
      </c>
      <c r="C356" s="3" t="s">
        <v>11</v>
      </c>
      <c r="D356" s="3" t="s">
        <v>12</v>
      </c>
      <c r="E356" s="3">
        <v>74461</v>
      </c>
      <c r="F356" s="3">
        <v>288390</v>
      </c>
      <c r="G356" s="3" t="s">
        <v>13</v>
      </c>
      <c r="H356" s="3" t="s">
        <v>19</v>
      </c>
      <c r="I356" s="3">
        <v>445</v>
      </c>
      <c r="J356" s="5" t="s">
        <v>15</v>
      </c>
      <c r="K356" s="3" t="str">
        <f t="shared" si="5"/>
        <v>Medium Income</v>
      </c>
    </row>
    <row r="357" spans="1:11" x14ac:dyDescent="0.35">
      <c r="A357" s="4">
        <v>356</v>
      </c>
      <c r="B357" s="3" t="s">
        <v>379</v>
      </c>
      <c r="C357" s="3" t="s">
        <v>17</v>
      </c>
      <c r="D357" s="3" t="s">
        <v>18</v>
      </c>
      <c r="E357" s="3">
        <v>62018</v>
      </c>
      <c r="F357" s="3">
        <v>51653</v>
      </c>
      <c r="G357" s="3" t="s">
        <v>22</v>
      </c>
      <c r="H357" s="3" t="s">
        <v>14</v>
      </c>
      <c r="I357" s="3">
        <v>887</v>
      </c>
      <c r="J357" s="5" t="s">
        <v>24</v>
      </c>
      <c r="K357" s="3" t="str">
        <f t="shared" si="5"/>
        <v>Medium Income</v>
      </c>
    </row>
    <row r="358" spans="1:11" x14ac:dyDescent="0.35">
      <c r="A358" s="4">
        <v>357</v>
      </c>
      <c r="B358" s="3" t="s">
        <v>380</v>
      </c>
      <c r="C358" s="3" t="s">
        <v>17</v>
      </c>
      <c r="D358" s="3" t="s">
        <v>18</v>
      </c>
      <c r="E358" s="3">
        <v>76773</v>
      </c>
      <c r="F358" s="3">
        <v>341979</v>
      </c>
      <c r="G358" s="3" t="s">
        <v>13</v>
      </c>
      <c r="H358" s="3" t="s">
        <v>23</v>
      </c>
      <c r="I358" s="3">
        <v>685</v>
      </c>
      <c r="J358" s="5" t="s">
        <v>15</v>
      </c>
      <c r="K358" s="3" t="str">
        <f t="shared" si="5"/>
        <v>Medium Income</v>
      </c>
    </row>
    <row r="359" spans="1:11" x14ac:dyDescent="0.35">
      <c r="A359" s="4">
        <v>358</v>
      </c>
      <c r="B359" s="3" t="s">
        <v>381</v>
      </c>
      <c r="C359" s="3" t="s">
        <v>11</v>
      </c>
      <c r="D359" s="3" t="s">
        <v>12</v>
      </c>
      <c r="E359" s="3">
        <v>106648</v>
      </c>
      <c r="F359" s="3">
        <v>344755</v>
      </c>
      <c r="G359" s="3" t="s">
        <v>22</v>
      </c>
      <c r="H359" s="3" t="s">
        <v>26</v>
      </c>
      <c r="I359" s="3">
        <v>701</v>
      </c>
      <c r="J359" s="5" t="s">
        <v>15</v>
      </c>
      <c r="K359" s="3" t="str">
        <f t="shared" si="5"/>
        <v>High Income</v>
      </c>
    </row>
    <row r="360" spans="1:11" x14ac:dyDescent="0.35">
      <c r="A360" s="4">
        <v>359</v>
      </c>
      <c r="B360" s="3" t="s">
        <v>382</v>
      </c>
      <c r="C360" s="3" t="s">
        <v>17</v>
      </c>
      <c r="D360" s="3" t="s">
        <v>12</v>
      </c>
      <c r="E360" s="3">
        <v>68063</v>
      </c>
      <c r="F360" s="3">
        <v>422605</v>
      </c>
      <c r="G360" s="3" t="s">
        <v>22</v>
      </c>
      <c r="H360" s="3" t="s">
        <v>14</v>
      </c>
      <c r="I360" s="3">
        <v>321</v>
      </c>
      <c r="J360" s="5" t="s">
        <v>15</v>
      </c>
      <c r="K360" s="3" t="str">
        <f t="shared" si="5"/>
        <v>Medium Income</v>
      </c>
    </row>
    <row r="361" spans="1:11" x14ac:dyDescent="0.35">
      <c r="A361" s="4">
        <v>360</v>
      </c>
      <c r="B361" s="3" t="s">
        <v>383</v>
      </c>
      <c r="C361" s="3" t="s">
        <v>11</v>
      </c>
      <c r="D361" s="3" t="s">
        <v>18</v>
      </c>
      <c r="E361" s="3">
        <v>86545</v>
      </c>
      <c r="F361" s="3">
        <v>107174</v>
      </c>
      <c r="G361" s="3" t="s">
        <v>13</v>
      </c>
      <c r="H361" s="3" t="s">
        <v>26</v>
      </c>
      <c r="I361" s="3">
        <v>615</v>
      </c>
      <c r="J361" s="5" t="s">
        <v>24</v>
      </c>
      <c r="K361" s="3" t="str">
        <f t="shared" si="5"/>
        <v>High Income</v>
      </c>
    </row>
    <row r="362" spans="1:11" x14ac:dyDescent="0.35">
      <c r="A362" s="4">
        <v>361</v>
      </c>
      <c r="B362" s="3" t="s">
        <v>384</v>
      </c>
      <c r="C362" s="3" t="s">
        <v>17</v>
      </c>
      <c r="D362" s="3" t="s">
        <v>18</v>
      </c>
      <c r="E362" s="3">
        <v>54366</v>
      </c>
      <c r="F362" s="3">
        <v>442705</v>
      </c>
      <c r="G362" s="3" t="s">
        <v>13</v>
      </c>
      <c r="H362" s="3" t="s">
        <v>23</v>
      </c>
      <c r="I362" s="3">
        <v>835</v>
      </c>
      <c r="J362" s="5" t="s">
        <v>32</v>
      </c>
      <c r="K362" s="3" t="str">
        <f t="shared" si="5"/>
        <v>Medium Income</v>
      </c>
    </row>
    <row r="363" spans="1:11" x14ac:dyDescent="0.35">
      <c r="A363" s="4">
        <v>362</v>
      </c>
      <c r="B363" s="3" t="s">
        <v>385</v>
      </c>
      <c r="C363" s="3" t="s">
        <v>17</v>
      </c>
      <c r="D363" s="3" t="s">
        <v>21</v>
      </c>
      <c r="E363" s="3">
        <v>92705</v>
      </c>
      <c r="F363" s="3">
        <v>227505</v>
      </c>
      <c r="G363" s="3" t="s">
        <v>22</v>
      </c>
      <c r="H363" s="3" t="s">
        <v>19</v>
      </c>
      <c r="I363" s="3">
        <v>734</v>
      </c>
      <c r="J363" s="5" t="s">
        <v>15</v>
      </c>
      <c r="K363" s="3" t="str">
        <f t="shared" si="5"/>
        <v>High Income</v>
      </c>
    </row>
    <row r="364" spans="1:11" x14ac:dyDescent="0.35">
      <c r="A364" s="4">
        <v>363</v>
      </c>
      <c r="B364" s="3" t="s">
        <v>386</v>
      </c>
      <c r="C364" s="3" t="s">
        <v>17</v>
      </c>
      <c r="D364" s="3" t="s">
        <v>18</v>
      </c>
      <c r="E364" s="3">
        <v>62686</v>
      </c>
      <c r="F364" s="3">
        <v>174480</v>
      </c>
      <c r="G364" s="3" t="s">
        <v>22</v>
      </c>
      <c r="H364" s="3" t="s">
        <v>19</v>
      </c>
      <c r="I364" s="3">
        <v>466</v>
      </c>
      <c r="J364" s="5" t="s">
        <v>24</v>
      </c>
      <c r="K364" s="3" t="str">
        <f t="shared" si="5"/>
        <v>Medium Income</v>
      </c>
    </row>
    <row r="365" spans="1:11" x14ac:dyDescent="0.35">
      <c r="A365" s="4">
        <v>364</v>
      </c>
      <c r="B365" s="3" t="s">
        <v>387</v>
      </c>
      <c r="C365" s="3" t="s">
        <v>11</v>
      </c>
      <c r="D365" s="3" t="s">
        <v>18</v>
      </c>
      <c r="E365" s="3">
        <v>92790</v>
      </c>
      <c r="F365" s="3">
        <v>400836</v>
      </c>
      <c r="G365" s="3" t="s">
        <v>13</v>
      </c>
      <c r="H365" s="3" t="s">
        <v>23</v>
      </c>
      <c r="I365" s="3">
        <v>678</v>
      </c>
      <c r="J365" s="5" t="s">
        <v>32</v>
      </c>
      <c r="K365" s="3" t="str">
        <f t="shared" si="5"/>
        <v>High Income</v>
      </c>
    </row>
    <row r="366" spans="1:11" x14ac:dyDescent="0.35">
      <c r="A366" s="4">
        <v>365</v>
      </c>
      <c r="B366" s="3" t="s">
        <v>388</v>
      </c>
      <c r="C366" s="3" t="s">
        <v>17</v>
      </c>
      <c r="D366" s="3" t="s">
        <v>21</v>
      </c>
      <c r="E366" s="3">
        <v>102805</v>
      </c>
      <c r="F366" s="3">
        <v>395424</v>
      </c>
      <c r="G366" s="3" t="s">
        <v>22</v>
      </c>
      <c r="H366" s="3" t="s">
        <v>14</v>
      </c>
      <c r="I366" s="3">
        <v>881</v>
      </c>
      <c r="J366" s="5" t="s">
        <v>32</v>
      </c>
      <c r="K366" s="3" t="str">
        <f t="shared" si="5"/>
        <v>High Income</v>
      </c>
    </row>
    <row r="367" spans="1:11" x14ac:dyDescent="0.35">
      <c r="A367" s="4">
        <v>366</v>
      </c>
      <c r="B367" s="3" t="s">
        <v>389</v>
      </c>
      <c r="C367" s="3" t="s">
        <v>17</v>
      </c>
      <c r="D367" s="3" t="s">
        <v>12</v>
      </c>
      <c r="E367" s="3">
        <v>53918</v>
      </c>
      <c r="F367" s="3">
        <v>381603</v>
      </c>
      <c r="G367" s="3" t="s">
        <v>13</v>
      </c>
      <c r="H367" s="3" t="s">
        <v>14</v>
      </c>
      <c r="I367" s="3">
        <v>398</v>
      </c>
      <c r="J367" s="5" t="s">
        <v>24</v>
      </c>
      <c r="K367" s="3" t="str">
        <f t="shared" si="5"/>
        <v>Medium Income</v>
      </c>
    </row>
    <row r="368" spans="1:11" x14ac:dyDescent="0.35">
      <c r="A368" s="4">
        <v>367</v>
      </c>
      <c r="B368" s="3" t="s">
        <v>390</v>
      </c>
      <c r="C368" s="3" t="s">
        <v>17</v>
      </c>
      <c r="D368" s="3" t="s">
        <v>18</v>
      </c>
      <c r="E368" s="3">
        <v>31135</v>
      </c>
      <c r="F368" s="3">
        <v>99208</v>
      </c>
      <c r="G368" s="3" t="s">
        <v>22</v>
      </c>
      <c r="H368" s="3" t="s">
        <v>14</v>
      </c>
      <c r="I368" s="3">
        <v>624</v>
      </c>
      <c r="J368" s="5" t="s">
        <v>32</v>
      </c>
      <c r="K368" s="3" t="str">
        <f t="shared" si="5"/>
        <v>Low Income</v>
      </c>
    </row>
    <row r="369" spans="1:11" x14ac:dyDescent="0.35">
      <c r="A369" s="4">
        <v>368</v>
      </c>
      <c r="B369" s="3" t="s">
        <v>391</v>
      </c>
      <c r="C369" s="3" t="s">
        <v>17</v>
      </c>
      <c r="D369" s="3" t="s">
        <v>21</v>
      </c>
      <c r="E369" s="3">
        <v>25010</v>
      </c>
      <c r="F369" s="3">
        <v>16965</v>
      </c>
      <c r="G369" s="3" t="s">
        <v>13</v>
      </c>
      <c r="H369" s="3" t="s">
        <v>26</v>
      </c>
      <c r="I369" s="3">
        <v>831</v>
      </c>
      <c r="J369" s="5" t="s">
        <v>32</v>
      </c>
      <c r="K369" s="3" t="str">
        <f t="shared" si="5"/>
        <v>Low Income</v>
      </c>
    </row>
    <row r="370" spans="1:11" x14ac:dyDescent="0.35">
      <c r="A370" s="4">
        <v>369</v>
      </c>
      <c r="B370" s="3" t="s">
        <v>392</v>
      </c>
      <c r="C370" s="3" t="s">
        <v>17</v>
      </c>
      <c r="D370" s="3" t="s">
        <v>21</v>
      </c>
      <c r="E370" s="3">
        <v>82441</v>
      </c>
      <c r="F370" s="3">
        <v>417402</v>
      </c>
      <c r="G370" s="3" t="s">
        <v>13</v>
      </c>
      <c r="H370" s="3" t="s">
        <v>26</v>
      </c>
      <c r="I370" s="3">
        <v>479</v>
      </c>
      <c r="J370" s="5" t="s">
        <v>15</v>
      </c>
      <c r="K370" s="3" t="str">
        <f t="shared" si="5"/>
        <v>High Income</v>
      </c>
    </row>
    <row r="371" spans="1:11" x14ac:dyDescent="0.35">
      <c r="A371" s="4">
        <v>370</v>
      </c>
      <c r="B371" s="3" t="s">
        <v>393</v>
      </c>
      <c r="C371" s="3" t="s">
        <v>11</v>
      </c>
      <c r="D371" s="3" t="s">
        <v>18</v>
      </c>
      <c r="E371" s="3">
        <v>44814</v>
      </c>
      <c r="F371" s="3">
        <v>132737</v>
      </c>
      <c r="G371" s="3" t="s">
        <v>22</v>
      </c>
      <c r="H371" s="3" t="s">
        <v>23</v>
      </c>
      <c r="I371" s="3">
        <v>374</v>
      </c>
      <c r="J371" s="5" t="s">
        <v>32</v>
      </c>
      <c r="K371" s="3" t="str">
        <f t="shared" si="5"/>
        <v>Low Income</v>
      </c>
    </row>
    <row r="372" spans="1:11" x14ac:dyDescent="0.35">
      <c r="A372" s="4">
        <v>371</v>
      </c>
      <c r="B372" s="3" t="s">
        <v>394</v>
      </c>
      <c r="C372" s="3" t="s">
        <v>11</v>
      </c>
      <c r="D372" s="3" t="s">
        <v>21</v>
      </c>
      <c r="E372" s="3">
        <v>28588</v>
      </c>
      <c r="F372" s="3">
        <v>240107</v>
      </c>
      <c r="G372" s="3" t="s">
        <v>13</v>
      </c>
      <c r="H372" s="3" t="s">
        <v>14</v>
      </c>
      <c r="I372" s="3">
        <v>308</v>
      </c>
      <c r="J372" s="5" t="s">
        <v>32</v>
      </c>
      <c r="K372" s="3" t="str">
        <f t="shared" si="5"/>
        <v>Low Income</v>
      </c>
    </row>
    <row r="373" spans="1:11" x14ac:dyDescent="0.35">
      <c r="A373" s="4">
        <v>372</v>
      </c>
      <c r="B373" s="3" t="s">
        <v>395</v>
      </c>
      <c r="C373" s="3" t="s">
        <v>11</v>
      </c>
      <c r="D373" s="3" t="s">
        <v>12</v>
      </c>
      <c r="E373" s="3">
        <v>53832</v>
      </c>
      <c r="F373" s="3">
        <v>282127</v>
      </c>
      <c r="G373" s="3" t="s">
        <v>22</v>
      </c>
      <c r="H373" s="3" t="s">
        <v>14</v>
      </c>
      <c r="I373" s="3">
        <v>489</v>
      </c>
      <c r="J373" s="5" t="s">
        <v>24</v>
      </c>
      <c r="K373" s="3" t="str">
        <f t="shared" si="5"/>
        <v>Medium Income</v>
      </c>
    </row>
    <row r="374" spans="1:11" x14ac:dyDescent="0.35">
      <c r="A374" s="4">
        <v>373</v>
      </c>
      <c r="B374" s="3" t="s">
        <v>396</v>
      </c>
      <c r="C374" s="3" t="s">
        <v>17</v>
      </c>
      <c r="D374" s="3" t="s">
        <v>21</v>
      </c>
      <c r="E374" s="3">
        <v>38678</v>
      </c>
      <c r="F374" s="3">
        <v>298468</v>
      </c>
      <c r="G374" s="3" t="s">
        <v>13</v>
      </c>
      <c r="H374" s="3" t="s">
        <v>23</v>
      </c>
      <c r="I374" s="3">
        <v>313</v>
      </c>
      <c r="J374" s="5" t="s">
        <v>24</v>
      </c>
      <c r="K374" s="3" t="str">
        <f t="shared" si="5"/>
        <v>Low Income</v>
      </c>
    </row>
    <row r="375" spans="1:11" x14ac:dyDescent="0.35">
      <c r="A375" s="4">
        <v>374</v>
      </c>
      <c r="B375" s="3" t="s">
        <v>397</v>
      </c>
      <c r="C375" s="3" t="s">
        <v>11</v>
      </c>
      <c r="D375" s="3" t="s">
        <v>18</v>
      </c>
      <c r="E375" s="3">
        <v>41680</v>
      </c>
      <c r="F375" s="3">
        <v>163095</v>
      </c>
      <c r="G375" s="3" t="s">
        <v>13</v>
      </c>
      <c r="H375" s="3" t="s">
        <v>23</v>
      </c>
      <c r="I375" s="3">
        <v>751</v>
      </c>
      <c r="J375" s="5" t="s">
        <v>24</v>
      </c>
      <c r="K375" s="3" t="str">
        <f t="shared" si="5"/>
        <v>Low Income</v>
      </c>
    </row>
    <row r="376" spans="1:11" x14ac:dyDescent="0.35">
      <c r="A376" s="4">
        <v>375</v>
      </c>
      <c r="B376" s="3" t="s">
        <v>398</v>
      </c>
      <c r="C376" s="3" t="s">
        <v>11</v>
      </c>
      <c r="D376" s="3" t="s">
        <v>18</v>
      </c>
      <c r="E376" s="3">
        <v>104254</v>
      </c>
      <c r="F376" s="3">
        <v>440777</v>
      </c>
      <c r="G376" s="3" t="s">
        <v>13</v>
      </c>
      <c r="H376" s="3" t="s">
        <v>26</v>
      </c>
      <c r="I376" s="3">
        <v>739</v>
      </c>
      <c r="J376" s="5" t="s">
        <v>32</v>
      </c>
      <c r="K376" s="3" t="str">
        <f t="shared" si="5"/>
        <v>High Income</v>
      </c>
    </row>
    <row r="377" spans="1:11" x14ac:dyDescent="0.35">
      <c r="A377" s="4">
        <v>376</v>
      </c>
      <c r="B377" s="3" t="s">
        <v>399</v>
      </c>
      <c r="C377" s="3" t="s">
        <v>11</v>
      </c>
      <c r="D377" s="3" t="s">
        <v>21</v>
      </c>
      <c r="E377" s="3">
        <v>44347</v>
      </c>
      <c r="F377" s="3">
        <v>216025</v>
      </c>
      <c r="G377" s="3" t="s">
        <v>13</v>
      </c>
      <c r="H377" s="3" t="s">
        <v>23</v>
      </c>
      <c r="I377" s="3">
        <v>896</v>
      </c>
      <c r="J377" s="5" t="s">
        <v>15</v>
      </c>
      <c r="K377" s="3" t="str">
        <f t="shared" si="5"/>
        <v>Low Income</v>
      </c>
    </row>
    <row r="378" spans="1:11" x14ac:dyDescent="0.35">
      <c r="A378" s="4">
        <v>377</v>
      </c>
      <c r="B378" s="3" t="s">
        <v>400</v>
      </c>
      <c r="C378" s="3" t="s">
        <v>11</v>
      </c>
      <c r="D378" s="3" t="s">
        <v>12</v>
      </c>
      <c r="E378" s="3">
        <v>42377</v>
      </c>
      <c r="F378" s="3">
        <v>186885</v>
      </c>
      <c r="G378" s="3" t="s">
        <v>22</v>
      </c>
      <c r="H378" s="3" t="s">
        <v>23</v>
      </c>
      <c r="I378" s="3">
        <v>648</v>
      </c>
      <c r="J378" s="5" t="s">
        <v>15</v>
      </c>
      <c r="K378" s="3" t="str">
        <f t="shared" si="5"/>
        <v>Low Income</v>
      </c>
    </row>
    <row r="379" spans="1:11" x14ac:dyDescent="0.35">
      <c r="A379" s="4">
        <v>378</v>
      </c>
      <c r="B379" s="3" t="s">
        <v>401</v>
      </c>
      <c r="C379" s="3" t="s">
        <v>17</v>
      </c>
      <c r="D379" s="3" t="s">
        <v>18</v>
      </c>
      <c r="E379" s="3">
        <v>76198</v>
      </c>
      <c r="F379" s="3">
        <v>318950</v>
      </c>
      <c r="G379" s="3" t="s">
        <v>22</v>
      </c>
      <c r="H379" s="3" t="s">
        <v>23</v>
      </c>
      <c r="I379" s="3">
        <v>671</v>
      </c>
      <c r="J379" s="5" t="s">
        <v>32</v>
      </c>
      <c r="K379" s="3" t="str">
        <f t="shared" si="5"/>
        <v>Medium Income</v>
      </c>
    </row>
    <row r="380" spans="1:11" x14ac:dyDescent="0.35">
      <c r="A380" s="4">
        <v>379</v>
      </c>
      <c r="B380" s="3" t="s">
        <v>402</v>
      </c>
      <c r="C380" s="3" t="s">
        <v>17</v>
      </c>
      <c r="D380" s="3" t="s">
        <v>21</v>
      </c>
      <c r="E380" s="3">
        <v>28227</v>
      </c>
      <c r="F380" s="3">
        <v>311342</v>
      </c>
      <c r="G380" s="3" t="s">
        <v>13</v>
      </c>
      <c r="H380" s="3" t="s">
        <v>26</v>
      </c>
      <c r="I380" s="3">
        <v>780</v>
      </c>
      <c r="J380" s="5" t="s">
        <v>15</v>
      </c>
      <c r="K380" s="3" t="str">
        <f t="shared" si="5"/>
        <v>Low Income</v>
      </c>
    </row>
    <row r="381" spans="1:11" x14ac:dyDescent="0.35">
      <c r="A381" s="4">
        <v>380</v>
      </c>
      <c r="B381" s="3" t="s">
        <v>403</v>
      </c>
      <c r="C381" s="3" t="s">
        <v>11</v>
      </c>
      <c r="D381" s="3" t="s">
        <v>21</v>
      </c>
      <c r="E381" s="3">
        <v>27137</v>
      </c>
      <c r="F381" s="3">
        <v>230532</v>
      </c>
      <c r="G381" s="3" t="s">
        <v>22</v>
      </c>
      <c r="H381" s="3" t="s">
        <v>26</v>
      </c>
      <c r="I381" s="3">
        <v>600</v>
      </c>
      <c r="J381" s="5" t="s">
        <v>24</v>
      </c>
      <c r="K381" s="3" t="str">
        <f t="shared" si="5"/>
        <v>Low Income</v>
      </c>
    </row>
    <row r="382" spans="1:11" x14ac:dyDescent="0.35">
      <c r="A382" s="4">
        <v>381</v>
      </c>
      <c r="B382" s="3" t="s">
        <v>404</v>
      </c>
      <c r="C382" s="3" t="s">
        <v>11</v>
      </c>
      <c r="D382" s="3" t="s">
        <v>21</v>
      </c>
      <c r="E382" s="3">
        <v>31044</v>
      </c>
      <c r="F382" s="3">
        <v>291700</v>
      </c>
      <c r="G382" s="3" t="s">
        <v>13</v>
      </c>
      <c r="H382" s="3" t="s">
        <v>26</v>
      </c>
      <c r="I382" s="3">
        <v>603</v>
      </c>
      <c r="J382" s="5" t="s">
        <v>15</v>
      </c>
      <c r="K382" s="3" t="str">
        <f t="shared" si="5"/>
        <v>Low Income</v>
      </c>
    </row>
    <row r="383" spans="1:11" x14ac:dyDescent="0.35">
      <c r="A383" s="4">
        <v>382</v>
      </c>
      <c r="B383" s="3" t="s">
        <v>405</v>
      </c>
      <c r="C383" s="3" t="s">
        <v>11</v>
      </c>
      <c r="D383" s="3" t="s">
        <v>12</v>
      </c>
      <c r="E383" s="3">
        <v>65688</v>
      </c>
      <c r="F383" s="3">
        <v>132895</v>
      </c>
      <c r="G383" s="3" t="s">
        <v>13</v>
      </c>
      <c r="H383" s="3" t="s">
        <v>23</v>
      </c>
      <c r="I383" s="3">
        <v>333</v>
      </c>
      <c r="J383" s="5" t="s">
        <v>32</v>
      </c>
      <c r="K383" s="3" t="str">
        <f t="shared" si="5"/>
        <v>Medium Income</v>
      </c>
    </row>
    <row r="384" spans="1:11" x14ac:dyDescent="0.35">
      <c r="A384" s="4">
        <v>383</v>
      </c>
      <c r="B384" s="3" t="s">
        <v>406</v>
      </c>
      <c r="C384" s="3" t="s">
        <v>11</v>
      </c>
      <c r="D384" s="3" t="s">
        <v>18</v>
      </c>
      <c r="E384" s="3">
        <v>96024</v>
      </c>
      <c r="F384" s="3">
        <v>357618</v>
      </c>
      <c r="G384" s="3" t="s">
        <v>22</v>
      </c>
      <c r="H384" s="3" t="s">
        <v>19</v>
      </c>
      <c r="I384" s="3">
        <v>381</v>
      </c>
      <c r="J384" s="5" t="s">
        <v>15</v>
      </c>
      <c r="K384" s="3" t="str">
        <f t="shared" si="5"/>
        <v>High Income</v>
      </c>
    </row>
    <row r="385" spans="1:11" x14ac:dyDescent="0.35">
      <c r="A385" s="4">
        <v>384</v>
      </c>
      <c r="B385" s="3" t="s">
        <v>407</v>
      </c>
      <c r="C385" s="3" t="s">
        <v>11</v>
      </c>
      <c r="D385" s="3" t="s">
        <v>21</v>
      </c>
      <c r="E385" s="3">
        <v>95642</v>
      </c>
      <c r="F385" s="3">
        <v>18245</v>
      </c>
      <c r="G385" s="3" t="s">
        <v>22</v>
      </c>
      <c r="H385" s="3" t="s">
        <v>19</v>
      </c>
      <c r="I385" s="3">
        <v>709</v>
      </c>
      <c r="J385" s="5" t="s">
        <v>32</v>
      </c>
      <c r="K385" s="3" t="str">
        <f t="shared" si="5"/>
        <v>High Income</v>
      </c>
    </row>
    <row r="386" spans="1:11" x14ac:dyDescent="0.35">
      <c r="A386" s="4">
        <v>385</v>
      </c>
      <c r="B386" s="3" t="s">
        <v>408</v>
      </c>
      <c r="C386" s="3" t="s">
        <v>17</v>
      </c>
      <c r="D386" s="3" t="s">
        <v>21</v>
      </c>
      <c r="E386" s="3">
        <v>41797</v>
      </c>
      <c r="F386" s="3">
        <v>424814</v>
      </c>
      <c r="G386" s="3" t="s">
        <v>13</v>
      </c>
      <c r="H386" s="3" t="s">
        <v>23</v>
      </c>
      <c r="I386" s="3">
        <v>877</v>
      </c>
      <c r="J386" s="5" t="s">
        <v>24</v>
      </c>
      <c r="K386" s="3" t="str">
        <f t="shared" ref="K386:K449" si="6">IF(E386&gt;80000,"High Income",IF(E386&gt;=50000,"Medium Income","Low Income"))</f>
        <v>Low Income</v>
      </c>
    </row>
    <row r="387" spans="1:11" x14ac:dyDescent="0.35">
      <c r="A387" s="4">
        <v>386</v>
      </c>
      <c r="B387" s="3" t="s">
        <v>409</v>
      </c>
      <c r="C387" s="3" t="s">
        <v>17</v>
      </c>
      <c r="D387" s="3" t="s">
        <v>12</v>
      </c>
      <c r="E387" s="3">
        <v>89014</v>
      </c>
      <c r="F387" s="3">
        <v>148525</v>
      </c>
      <c r="G387" s="3" t="s">
        <v>13</v>
      </c>
      <c r="H387" s="3" t="s">
        <v>26</v>
      </c>
      <c r="I387" s="3">
        <v>888</v>
      </c>
      <c r="J387" s="5" t="s">
        <v>24</v>
      </c>
      <c r="K387" s="3" t="str">
        <f t="shared" si="6"/>
        <v>High Income</v>
      </c>
    </row>
    <row r="388" spans="1:11" x14ac:dyDescent="0.35">
      <c r="A388" s="4">
        <v>387</v>
      </c>
      <c r="B388" s="3" t="s">
        <v>410</v>
      </c>
      <c r="C388" s="3" t="s">
        <v>11</v>
      </c>
      <c r="D388" s="3" t="s">
        <v>21</v>
      </c>
      <c r="E388" s="3">
        <v>83924</v>
      </c>
      <c r="F388" s="3">
        <v>159994</v>
      </c>
      <c r="G388" s="3" t="s">
        <v>22</v>
      </c>
      <c r="H388" s="3" t="s">
        <v>14</v>
      </c>
      <c r="I388" s="3">
        <v>797</v>
      </c>
      <c r="J388" s="5" t="s">
        <v>15</v>
      </c>
      <c r="K388" s="3" t="str">
        <f t="shared" si="6"/>
        <v>High Income</v>
      </c>
    </row>
    <row r="389" spans="1:11" x14ac:dyDescent="0.35">
      <c r="A389" s="4">
        <v>388</v>
      </c>
      <c r="B389" s="3" t="s">
        <v>411</v>
      </c>
      <c r="C389" s="3" t="s">
        <v>17</v>
      </c>
      <c r="D389" s="3" t="s">
        <v>21</v>
      </c>
      <c r="E389" s="3">
        <v>46377</v>
      </c>
      <c r="F389" s="3">
        <v>488524</v>
      </c>
      <c r="G389" s="3" t="s">
        <v>13</v>
      </c>
      <c r="H389" s="3" t="s">
        <v>23</v>
      </c>
      <c r="I389" s="3">
        <v>404</v>
      </c>
      <c r="J389" s="5" t="s">
        <v>15</v>
      </c>
      <c r="K389" s="3" t="str">
        <f t="shared" si="6"/>
        <v>Low Income</v>
      </c>
    </row>
    <row r="390" spans="1:11" x14ac:dyDescent="0.35">
      <c r="A390" s="4">
        <v>389</v>
      </c>
      <c r="B390" s="3" t="s">
        <v>412</v>
      </c>
      <c r="C390" s="3" t="s">
        <v>11</v>
      </c>
      <c r="D390" s="3" t="s">
        <v>12</v>
      </c>
      <c r="E390" s="3">
        <v>29769</v>
      </c>
      <c r="F390" s="3">
        <v>293493</v>
      </c>
      <c r="G390" s="3" t="s">
        <v>13</v>
      </c>
      <c r="H390" s="3" t="s">
        <v>14</v>
      </c>
      <c r="I390" s="3">
        <v>580</v>
      </c>
      <c r="J390" s="5" t="s">
        <v>24</v>
      </c>
      <c r="K390" s="3" t="str">
        <f t="shared" si="6"/>
        <v>Low Income</v>
      </c>
    </row>
    <row r="391" spans="1:11" x14ac:dyDescent="0.35">
      <c r="A391" s="4">
        <v>390</v>
      </c>
      <c r="B391" s="3" t="s">
        <v>413</v>
      </c>
      <c r="C391" s="3" t="s">
        <v>11</v>
      </c>
      <c r="D391" s="3" t="s">
        <v>18</v>
      </c>
      <c r="E391" s="3">
        <v>47238</v>
      </c>
      <c r="F391" s="3">
        <v>177180</v>
      </c>
      <c r="G391" s="3" t="s">
        <v>13</v>
      </c>
      <c r="H391" s="3" t="s">
        <v>23</v>
      </c>
      <c r="I391" s="3">
        <v>439</v>
      </c>
      <c r="J391" s="5" t="s">
        <v>32</v>
      </c>
      <c r="K391" s="3" t="str">
        <f t="shared" si="6"/>
        <v>Low Income</v>
      </c>
    </row>
    <row r="392" spans="1:11" x14ac:dyDescent="0.35">
      <c r="A392" s="4">
        <v>391</v>
      </c>
      <c r="B392" s="3" t="s">
        <v>414</v>
      </c>
      <c r="C392" s="3" t="s">
        <v>17</v>
      </c>
      <c r="D392" s="3" t="s">
        <v>12</v>
      </c>
      <c r="E392" s="3">
        <v>96630</v>
      </c>
      <c r="F392" s="3">
        <v>406826</v>
      </c>
      <c r="G392" s="3" t="s">
        <v>13</v>
      </c>
      <c r="H392" s="3" t="s">
        <v>26</v>
      </c>
      <c r="I392" s="3">
        <v>664</v>
      </c>
      <c r="J392" s="5" t="s">
        <v>32</v>
      </c>
      <c r="K392" s="3" t="str">
        <f t="shared" si="6"/>
        <v>High Income</v>
      </c>
    </row>
    <row r="393" spans="1:11" x14ac:dyDescent="0.35">
      <c r="A393" s="4">
        <v>392</v>
      </c>
      <c r="B393" s="3" t="s">
        <v>415</v>
      </c>
      <c r="C393" s="3" t="s">
        <v>11</v>
      </c>
      <c r="D393" s="3" t="s">
        <v>18</v>
      </c>
      <c r="E393" s="3">
        <v>112875</v>
      </c>
      <c r="F393" s="3">
        <v>343632</v>
      </c>
      <c r="G393" s="3" t="s">
        <v>13</v>
      </c>
      <c r="H393" s="3" t="s">
        <v>19</v>
      </c>
      <c r="I393" s="3">
        <v>524</v>
      </c>
      <c r="J393" s="5" t="s">
        <v>15</v>
      </c>
      <c r="K393" s="3" t="str">
        <f t="shared" si="6"/>
        <v>High Income</v>
      </c>
    </row>
    <row r="394" spans="1:11" x14ac:dyDescent="0.35">
      <c r="A394" s="4">
        <v>393</v>
      </c>
      <c r="B394" s="3" t="s">
        <v>416</v>
      </c>
      <c r="C394" s="3" t="s">
        <v>11</v>
      </c>
      <c r="D394" s="3" t="s">
        <v>12</v>
      </c>
      <c r="E394" s="3">
        <v>64476</v>
      </c>
      <c r="F394" s="3">
        <v>351870</v>
      </c>
      <c r="G394" s="3" t="s">
        <v>22</v>
      </c>
      <c r="H394" s="3" t="s">
        <v>26</v>
      </c>
      <c r="I394" s="3">
        <v>607</v>
      </c>
      <c r="J394" s="5" t="s">
        <v>24</v>
      </c>
      <c r="K394" s="3" t="str">
        <f t="shared" si="6"/>
        <v>Medium Income</v>
      </c>
    </row>
    <row r="395" spans="1:11" x14ac:dyDescent="0.35">
      <c r="A395" s="4">
        <v>394</v>
      </c>
      <c r="B395" s="3" t="s">
        <v>417</v>
      </c>
      <c r="C395" s="3" t="s">
        <v>17</v>
      </c>
      <c r="D395" s="3" t="s">
        <v>12</v>
      </c>
      <c r="E395" s="3">
        <v>34265</v>
      </c>
      <c r="F395" s="3">
        <v>432670</v>
      </c>
      <c r="G395" s="3" t="s">
        <v>13</v>
      </c>
      <c r="H395" s="3" t="s">
        <v>19</v>
      </c>
      <c r="I395" s="3">
        <v>527</v>
      </c>
      <c r="J395" s="5" t="s">
        <v>32</v>
      </c>
      <c r="K395" s="3" t="str">
        <f t="shared" si="6"/>
        <v>Low Income</v>
      </c>
    </row>
    <row r="396" spans="1:11" x14ac:dyDescent="0.35">
      <c r="A396" s="4">
        <v>395</v>
      </c>
      <c r="B396" s="3" t="s">
        <v>418</v>
      </c>
      <c r="C396" s="3" t="s">
        <v>17</v>
      </c>
      <c r="D396" s="3" t="s">
        <v>12</v>
      </c>
      <c r="E396" s="3">
        <v>20888</v>
      </c>
      <c r="F396" s="3">
        <v>375774</v>
      </c>
      <c r="G396" s="3" t="s">
        <v>22</v>
      </c>
      <c r="H396" s="3" t="s">
        <v>23</v>
      </c>
      <c r="I396" s="3">
        <v>510</v>
      </c>
      <c r="J396" s="5" t="s">
        <v>15</v>
      </c>
      <c r="K396" s="3" t="str">
        <f t="shared" si="6"/>
        <v>Low Income</v>
      </c>
    </row>
    <row r="397" spans="1:11" x14ac:dyDescent="0.35">
      <c r="A397" s="4">
        <v>396</v>
      </c>
      <c r="B397" s="3" t="s">
        <v>419</v>
      </c>
      <c r="C397" s="3" t="s">
        <v>11</v>
      </c>
      <c r="D397" s="3" t="s">
        <v>12</v>
      </c>
      <c r="E397" s="3">
        <v>43252</v>
      </c>
      <c r="F397" s="3">
        <v>328845</v>
      </c>
      <c r="G397" s="3" t="s">
        <v>13</v>
      </c>
      <c r="H397" s="3" t="s">
        <v>23</v>
      </c>
      <c r="I397" s="3">
        <v>823</v>
      </c>
      <c r="J397" s="5" t="s">
        <v>32</v>
      </c>
      <c r="K397" s="3" t="str">
        <f t="shared" si="6"/>
        <v>Low Income</v>
      </c>
    </row>
    <row r="398" spans="1:11" x14ac:dyDescent="0.35">
      <c r="A398" s="4">
        <v>397</v>
      </c>
      <c r="B398" s="3" t="s">
        <v>420</v>
      </c>
      <c r="C398" s="3" t="s">
        <v>11</v>
      </c>
      <c r="D398" s="3" t="s">
        <v>12</v>
      </c>
      <c r="E398" s="3">
        <v>53210</v>
      </c>
      <c r="F398" s="3">
        <v>182004</v>
      </c>
      <c r="G398" s="3" t="s">
        <v>22</v>
      </c>
      <c r="H398" s="3" t="s">
        <v>14</v>
      </c>
      <c r="I398" s="3">
        <v>869</v>
      </c>
      <c r="J398" s="5" t="s">
        <v>15</v>
      </c>
      <c r="K398" s="3" t="str">
        <f t="shared" si="6"/>
        <v>Medium Income</v>
      </c>
    </row>
    <row r="399" spans="1:11" x14ac:dyDescent="0.35">
      <c r="A399" s="4">
        <v>398</v>
      </c>
      <c r="B399" s="3" t="s">
        <v>421</v>
      </c>
      <c r="C399" s="3" t="s">
        <v>11</v>
      </c>
      <c r="D399" s="3" t="s">
        <v>12</v>
      </c>
      <c r="E399" s="3">
        <v>109620</v>
      </c>
      <c r="F399" s="3">
        <v>373484</v>
      </c>
      <c r="G399" s="3" t="s">
        <v>13</v>
      </c>
      <c r="H399" s="3" t="s">
        <v>23</v>
      </c>
      <c r="I399" s="3">
        <v>474</v>
      </c>
      <c r="J399" s="5" t="s">
        <v>32</v>
      </c>
      <c r="K399" s="3" t="str">
        <f t="shared" si="6"/>
        <v>High Income</v>
      </c>
    </row>
    <row r="400" spans="1:11" x14ac:dyDescent="0.35">
      <c r="A400" s="4">
        <v>399</v>
      </c>
      <c r="B400" s="3" t="s">
        <v>422</v>
      </c>
      <c r="C400" s="3" t="s">
        <v>17</v>
      </c>
      <c r="D400" s="3" t="s">
        <v>12</v>
      </c>
      <c r="E400" s="3">
        <v>110143</v>
      </c>
      <c r="F400" s="3">
        <v>331325</v>
      </c>
      <c r="G400" s="3" t="s">
        <v>22</v>
      </c>
      <c r="H400" s="3" t="s">
        <v>19</v>
      </c>
      <c r="I400" s="3">
        <v>513</v>
      </c>
      <c r="J400" s="5" t="s">
        <v>24</v>
      </c>
      <c r="K400" s="3" t="str">
        <f t="shared" si="6"/>
        <v>High Income</v>
      </c>
    </row>
    <row r="401" spans="1:11" x14ac:dyDescent="0.35">
      <c r="A401" s="4">
        <v>400</v>
      </c>
      <c r="B401" s="3" t="s">
        <v>423</v>
      </c>
      <c r="C401" s="3" t="s">
        <v>17</v>
      </c>
      <c r="D401" s="3" t="s">
        <v>21</v>
      </c>
      <c r="E401" s="3">
        <v>46643</v>
      </c>
      <c r="F401" s="3">
        <v>350841</v>
      </c>
      <c r="G401" s="3" t="s">
        <v>13</v>
      </c>
      <c r="H401" s="3" t="s">
        <v>14</v>
      </c>
      <c r="I401" s="3">
        <v>509</v>
      </c>
      <c r="J401" s="5" t="s">
        <v>32</v>
      </c>
      <c r="K401" s="3" t="str">
        <f t="shared" si="6"/>
        <v>Low Income</v>
      </c>
    </row>
    <row r="402" spans="1:11" x14ac:dyDescent="0.35">
      <c r="A402" s="4">
        <v>401</v>
      </c>
      <c r="B402" s="3" t="s">
        <v>424</v>
      </c>
      <c r="C402" s="3" t="s">
        <v>17</v>
      </c>
      <c r="D402" s="3" t="s">
        <v>18</v>
      </c>
      <c r="E402" s="3">
        <v>43224</v>
      </c>
      <c r="F402" s="3">
        <v>327416</v>
      </c>
      <c r="G402" s="3" t="s">
        <v>13</v>
      </c>
      <c r="H402" s="3" t="s">
        <v>26</v>
      </c>
      <c r="I402" s="3">
        <v>305</v>
      </c>
      <c r="J402" s="5" t="s">
        <v>24</v>
      </c>
      <c r="K402" s="3" t="str">
        <f t="shared" si="6"/>
        <v>Low Income</v>
      </c>
    </row>
    <row r="403" spans="1:11" x14ac:dyDescent="0.35">
      <c r="A403" s="4">
        <v>402</v>
      </c>
      <c r="B403" s="3" t="s">
        <v>425</v>
      </c>
      <c r="C403" s="3" t="s">
        <v>17</v>
      </c>
      <c r="D403" s="3" t="s">
        <v>12</v>
      </c>
      <c r="E403" s="3">
        <v>115215</v>
      </c>
      <c r="F403" s="3">
        <v>153672</v>
      </c>
      <c r="G403" s="3" t="s">
        <v>22</v>
      </c>
      <c r="H403" s="3" t="s">
        <v>23</v>
      </c>
      <c r="I403" s="3">
        <v>463</v>
      </c>
      <c r="J403" s="5" t="s">
        <v>24</v>
      </c>
      <c r="K403" s="3" t="str">
        <f t="shared" si="6"/>
        <v>High Income</v>
      </c>
    </row>
    <row r="404" spans="1:11" x14ac:dyDescent="0.35">
      <c r="A404" s="4">
        <v>403</v>
      </c>
      <c r="B404" s="3" t="s">
        <v>426</v>
      </c>
      <c r="C404" s="3" t="s">
        <v>17</v>
      </c>
      <c r="D404" s="3" t="s">
        <v>21</v>
      </c>
      <c r="E404" s="3">
        <v>100579</v>
      </c>
      <c r="F404" s="3">
        <v>238932</v>
      </c>
      <c r="G404" s="3" t="s">
        <v>22</v>
      </c>
      <c r="H404" s="3" t="s">
        <v>23</v>
      </c>
      <c r="I404" s="3">
        <v>346</v>
      </c>
      <c r="J404" s="5" t="s">
        <v>15</v>
      </c>
      <c r="K404" s="3" t="str">
        <f t="shared" si="6"/>
        <v>High Income</v>
      </c>
    </row>
    <row r="405" spans="1:11" x14ac:dyDescent="0.35">
      <c r="A405" s="4">
        <v>404</v>
      </c>
      <c r="B405" s="3" t="s">
        <v>427</v>
      </c>
      <c r="C405" s="3" t="s">
        <v>11</v>
      </c>
      <c r="D405" s="3" t="s">
        <v>18</v>
      </c>
      <c r="E405" s="3">
        <v>82644</v>
      </c>
      <c r="F405" s="3">
        <v>135520</v>
      </c>
      <c r="G405" s="3" t="s">
        <v>22</v>
      </c>
      <c r="H405" s="3" t="s">
        <v>23</v>
      </c>
      <c r="I405" s="3">
        <v>782</v>
      </c>
      <c r="J405" s="5" t="s">
        <v>32</v>
      </c>
      <c r="K405" s="3" t="str">
        <f t="shared" si="6"/>
        <v>High Income</v>
      </c>
    </row>
    <row r="406" spans="1:11" x14ac:dyDescent="0.35">
      <c r="A406" s="4">
        <v>405</v>
      </c>
      <c r="B406" s="3" t="s">
        <v>428</v>
      </c>
      <c r="C406" s="3" t="s">
        <v>11</v>
      </c>
      <c r="D406" s="3" t="s">
        <v>18</v>
      </c>
      <c r="E406" s="3">
        <v>52905</v>
      </c>
      <c r="F406" s="3">
        <v>282046</v>
      </c>
      <c r="G406" s="3" t="s">
        <v>13</v>
      </c>
      <c r="H406" s="3" t="s">
        <v>23</v>
      </c>
      <c r="I406" s="3">
        <v>797</v>
      </c>
      <c r="J406" s="5" t="s">
        <v>32</v>
      </c>
      <c r="K406" s="3" t="str">
        <f t="shared" si="6"/>
        <v>Medium Income</v>
      </c>
    </row>
    <row r="407" spans="1:11" x14ac:dyDescent="0.35">
      <c r="A407" s="4">
        <v>406</v>
      </c>
      <c r="B407" s="3" t="s">
        <v>429</v>
      </c>
      <c r="C407" s="3" t="s">
        <v>17</v>
      </c>
      <c r="D407" s="3" t="s">
        <v>18</v>
      </c>
      <c r="E407" s="3">
        <v>40233</v>
      </c>
      <c r="F407" s="3">
        <v>272537</v>
      </c>
      <c r="G407" s="3" t="s">
        <v>22</v>
      </c>
      <c r="H407" s="3" t="s">
        <v>26</v>
      </c>
      <c r="I407" s="3">
        <v>349</v>
      </c>
      <c r="J407" s="5" t="s">
        <v>24</v>
      </c>
      <c r="K407" s="3" t="str">
        <f t="shared" si="6"/>
        <v>Low Income</v>
      </c>
    </row>
    <row r="408" spans="1:11" x14ac:dyDescent="0.35">
      <c r="A408" s="4">
        <v>407</v>
      </c>
      <c r="B408" s="3" t="s">
        <v>430</v>
      </c>
      <c r="C408" s="3" t="s">
        <v>11</v>
      </c>
      <c r="D408" s="3" t="s">
        <v>12</v>
      </c>
      <c r="E408" s="3">
        <v>51820</v>
      </c>
      <c r="F408" s="3">
        <v>295892</v>
      </c>
      <c r="G408" s="3" t="s">
        <v>22</v>
      </c>
      <c r="H408" s="3" t="s">
        <v>14</v>
      </c>
      <c r="I408" s="3">
        <v>710</v>
      </c>
      <c r="J408" s="5" t="s">
        <v>24</v>
      </c>
      <c r="K408" s="3" t="str">
        <f t="shared" si="6"/>
        <v>Medium Income</v>
      </c>
    </row>
    <row r="409" spans="1:11" x14ac:dyDescent="0.35">
      <c r="A409" s="4">
        <v>408</v>
      </c>
      <c r="B409" s="3" t="s">
        <v>431</v>
      </c>
      <c r="C409" s="3" t="s">
        <v>17</v>
      </c>
      <c r="D409" s="3" t="s">
        <v>18</v>
      </c>
      <c r="E409" s="3">
        <v>109857</v>
      </c>
      <c r="F409" s="3">
        <v>441670</v>
      </c>
      <c r="G409" s="3" t="s">
        <v>22</v>
      </c>
      <c r="H409" s="3" t="s">
        <v>19</v>
      </c>
      <c r="I409" s="3">
        <v>529</v>
      </c>
      <c r="J409" s="5" t="s">
        <v>15</v>
      </c>
      <c r="K409" s="3" t="str">
        <f t="shared" si="6"/>
        <v>High Income</v>
      </c>
    </row>
    <row r="410" spans="1:11" x14ac:dyDescent="0.35">
      <c r="A410" s="4">
        <v>409</v>
      </c>
      <c r="B410" s="3" t="s">
        <v>432</v>
      </c>
      <c r="C410" s="3" t="s">
        <v>17</v>
      </c>
      <c r="D410" s="3" t="s">
        <v>21</v>
      </c>
      <c r="E410" s="3">
        <v>85962</v>
      </c>
      <c r="F410" s="3">
        <v>427802</v>
      </c>
      <c r="G410" s="3" t="s">
        <v>13</v>
      </c>
      <c r="H410" s="3" t="s">
        <v>14</v>
      </c>
      <c r="I410" s="3">
        <v>872</v>
      </c>
      <c r="J410" s="5" t="s">
        <v>15</v>
      </c>
      <c r="K410" s="3" t="str">
        <f t="shared" si="6"/>
        <v>High Income</v>
      </c>
    </row>
    <row r="411" spans="1:11" x14ac:dyDescent="0.35">
      <c r="A411" s="4">
        <v>410</v>
      </c>
      <c r="B411" s="3" t="s">
        <v>433</v>
      </c>
      <c r="C411" s="3" t="s">
        <v>11</v>
      </c>
      <c r="D411" s="3" t="s">
        <v>12</v>
      </c>
      <c r="E411" s="3">
        <v>113977</v>
      </c>
      <c r="F411" s="3">
        <v>233476</v>
      </c>
      <c r="G411" s="3" t="s">
        <v>13</v>
      </c>
      <c r="H411" s="3" t="s">
        <v>19</v>
      </c>
      <c r="I411" s="3">
        <v>705</v>
      </c>
      <c r="J411" s="5" t="s">
        <v>32</v>
      </c>
      <c r="K411" s="3" t="str">
        <f t="shared" si="6"/>
        <v>High Income</v>
      </c>
    </row>
    <row r="412" spans="1:11" x14ac:dyDescent="0.35">
      <c r="A412" s="4">
        <v>411</v>
      </c>
      <c r="B412" s="3" t="s">
        <v>434</v>
      </c>
      <c r="C412" s="3" t="s">
        <v>17</v>
      </c>
      <c r="D412" s="3" t="s">
        <v>18</v>
      </c>
      <c r="E412" s="3">
        <v>110404</v>
      </c>
      <c r="F412" s="3">
        <v>115921</v>
      </c>
      <c r="G412" s="3" t="s">
        <v>22</v>
      </c>
      <c r="H412" s="3" t="s">
        <v>23</v>
      </c>
      <c r="I412" s="3">
        <v>746</v>
      </c>
      <c r="J412" s="5" t="s">
        <v>32</v>
      </c>
      <c r="K412" s="3" t="str">
        <f t="shared" si="6"/>
        <v>High Income</v>
      </c>
    </row>
    <row r="413" spans="1:11" x14ac:dyDescent="0.35">
      <c r="A413" s="4">
        <v>412</v>
      </c>
      <c r="B413" s="3" t="s">
        <v>435</v>
      </c>
      <c r="C413" s="3" t="s">
        <v>11</v>
      </c>
      <c r="D413" s="3" t="s">
        <v>12</v>
      </c>
      <c r="E413" s="3">
        <v>54017</v>
      </c>
      <c r="F413" s="3">
        <v>360561</v>
      </c>
      <c r="G413" s="3" t="s">
        <v>22</v>
      </c>
      <c r="H413" s="3" t="s">
        <v>26</v>
      </c>
      <c r="I413" s="3">
        <v>305</v>
      </c>
      <c r="J413" s="5" t="s">
        <v>32</v>
      </c>
      <c r="K413" s="3" t="str">
        <f t="shared" si="6"/>
        <v>Medium Income</v>
      </c>
    </row>
    <row r="414" spans="1:11" x14ac:dyDescent="0.35">
      <c r="A414" s="4">
        <v>413</v>
      </c>
      <c r="B414" s="3" t="s">
        <v>436</v>
      </c>
      <c r="C414" s="3" t="s">
        <v>11</v>
      </c>
      <c r="D414" s="3" t="s">
        <v>18</v>
      </c>
      <c r="E414" s="3">
        <v>94153</v>
      </c>
      <c r="F414" s="3">
        <v>325705</v>
      </c>
      <c r="G414" s="3" t="s">
        <v>22</v>
      </c>
      <c r="H414" s="3" t="s">
        <v>14</v>
      </c>
      <c r="I414" s="3">
        <v>765</v>
      </c>
      <c r="J414" s="5" t="s">
        <v>32</v>
      </c>
      <c r="K414" s="3" t="str">
        <f t="shared" si="6"/>
        <v>High Income</v>
      </c>
    </row>
    <row r="415" spans="1:11" x14ac:dyDescent="0.35">
      <c r="A415" s="4">
        <v>414</v>
      </c>
      <c r="B415" s="3" t="s">
        <v>437</v>
      </c>
      <c r="C415" s="3" t="s">
        <v>17</v>
      </c>
      <c r="D415" s="3" t="s">
        <v>21</v>
      </c>
      <c r="E415" s="3">
        <v>116846</v>
      </c>
      <c r="F415" s="3">
        <v>173547</v>
      </c>
      <c r="G415" s="3" t="s">
        <v>22</v>
      </c>
      <c r="H415" s="3" t="s">
        <v>14</v>
      </c>
      <c r="I415" s="3">
        <v>586</v>
      </c>
      <c r="J415" s="5" t="s">
        <v>32</v>
      </c>
      <c r="K415" s="3" t="str">
        <f t="shared" si="6"/>
        <v>High Income</v>
      </c>
    </row>
    <row r="416" spans="1:11" x14ac:dyDescent="0.35">
      <c r="A416" s="4">
        <v>415</v>
      </c>
      <c r="B416" s="3" t="s">
        <v>438</v>
      </c>
      <c r="C416" s="3" t="s">
        <v>11</v>
      </c>
      <c r="D416" s="3" t="s">
        <v>18</v>
      </c>
      <c r="E416" s="3">
        <v>47752</v>
      </c>
      <c r="F416" s="3">
        <v>134216</v>
      </c>
      <c r="G416" s="3" t="s">
        <v>13</v>
      </c>
      <c r="H416" s="3" t="s">
        <v>23</v>
      </c>
      <c r="I416" s="3">
        <v>302</v>
      </c>
      <c r="J416" s="5" t="s">
        <v>32</v>
      </c>
      <c r="K416" s="3" t="str">
        <f t="shared" si="6"/>
        <v>Low Income</v>
      </c>
    </row>
    <row r="417" spans="1:11" x14ac:dyDescent="0.35">
      <c r="A417" s="4">
        <v>416</v>
      </c>
      <c r="B417" s="3" t="s">
        <v>439</v>
      </c>
      <c r="C417" s="3" t="s">
        <v>17</v>
      </c>
      <c r="D417" s="3" t="s">
        <v>21</v>
      </c>
      <c r="E417" s="3">
        <v>63745</v>
      </c>
      <c r="F417" s="3">
        <v>161814</v>
      </c>
      <c r="G417" s="3" t="s">
        <v>13</v>
      </c>
      <c r="H417" s="3" t="s">
        <v>19</v>
      </c>
      <c r="I417" s="3">
        <v>868</v>
      </c>
      <c r="J417" s="5" t="s">
        <v>24</v>
      </c>
      <c r="K417" s="3" t="str">
        <f t="shared" si="6"/>
        <v>Medium Income</v>
      </c>
    </row>
    <row r="418" spans="1:11" x14ac:dyDescent="0.35">
      <c r="A418" s="4">
        <v>417</v>
      </c>
      <c r="B418" s="3" t="s">
        <v>440</v>
      </c>
      <c r="C418" s="3" t="s">
        <v>11</v>
      </c>
      <c r="D418" s="3" t="s">
        <v>12</v>
      </c>
      <c r="E418" s="3">
        <v>95238</v>
      </c>
      <c r="F418" s="3">
        <v>186434</v>
      </c>
      <c r="G418" s="3" t="s">
        <v>13</v>
      </c>
      <c r="H418" s="3" t="s">
        <v>14</v>
      </c>
      <c r="I418" s="3">
        <v>540</v>
      </c>
      <c r="J418" s="5" t="s">
        <v>24</v>
      </c>
      <c r="K418" s="3" t="str">
        <f t="shared" si="6"/>
        <v>High Income</v>
      </c>
    </row>
    <row r="419" spans="1:11" x14ac:dyDescent="0.35">
      <c r="A419" s="4">
        <v>418</v>
      </c>
      <c r="B419" s="3" t="s">
        <v>441</v>
      </c>
      <c r="C419" s="3" t="s">
        <v>17</v>
      </c>
      <c r="D419" s="3" t="s">
        <v>12</v>
      </c>
      <c r="E419" s="3">
        <v>64180</v>
      </c>
      <c r="F419" s="3">
        <v>169197</v>
      </c>
      <c r="G419" s="3" t="s">
        <v>22</v>
      </c>
      <c r="H419" s="3" t="s">
        <v>14</v>
      </c>
      <c r="I419" s="3">
        <v>801</v>
      </c>
      <c r="J419" s="5" t="s">
        <v>32</v>
      </c>
      <c r="K419" s="3" t="str">
        <f t="shared" si="6"/>
        <v>Medium Income</v>
      </c>
    </row>
    <row r="420" spans="1:11" x14ac:dyDescent="0.35">
      <c r="A420" s="4">
        <v>419</v>
      </c>
      <c r="B420" s="3" t="s">
        <v>442</v>
      </c>
      <c r="C420" s="3" t="s">
        <v>17</v>
      </c>
      <c r="D420" s="3" t="s">
        <v>18</v>
      </c>
      <c r="E420" s="3">
        <v>32329</v>
      </c>
      <c r="F420" s="3">
        <v>457166</v>
      </c>
      <c r="G420" s="3" t="s">
        <v>22</v>
      </c>
      <c r="H420" s="3" t="s">
        <v>14</v>
      </c>
      <c r="I420" s="3">
        <v>512</v>
      </c>
      <c r="J420" s="5" t="s">
        <v>24</v>
      </c>
      <c r="K420" s="3" t="str">
        <f t="shared" si="6"/>
        <v>Low Income</v>
      </c>
    </row>
    <row r="421" spans="1:11" x14ac:dyDescent="0.35">
      <c r="A421" s="4">
        <v>420</v>
      </c>
      <c r="B421" s="3" t="s">
        <v>443</v>
      </c>
      <c r="C421" s="3" t="s">
        <v>17</v>
      </c>
      <c r="D421" s="3" t="s">
        <v>21</v>
      </c>
      <c r="E421" s="3">
        <v>58041</v>
      </c>
      <c r="F421" s="3">
        <v>362990</v>
      </c>
      <c r="G421" s="3" t="s">
        <v>22</v>
      </c>
      <c r="H421" s="3" t="s">
        <v>26</v>
      </c>
      <c r="I421" s="3">
        <v>519</v>
      </c>
      <c r="J421" s="5" t="s">
        <v>32</v>
      </c>
      <c r="K421" s="3" t="str">
        <f t="shared" si="6"/>
        <v>Medium Income</v>
      </c>
    </row>
    <row r="422" spans="1:11" x14ac:dyDescent="0.35">
      <c r="A422" s="4">
        <v>421</v>
      </c>
      <c r="B422" s="3" t="s">
        <v>444</v>
      </c>
      <c r="C422" s="3" t="s">
        <v>11</v>
      </c>
      <c r="D422" s="3" t="s">
        <v>12</v>
      </c>
      <c r="E422" s="3">
        <v>104413</v>
      </c>
      <c r="F422" s="3">
        <v>161532</v>
      </c>
      <c r="G422" s="3" t="s">
        <v>22</v>
      </c>
      <c r="H422" s="3" t="s">
        <v>19</v>
      </c>
      <c r="I422" s="3">
        <v>379</v>
      </c>
      <c r="J422" s="5" t="s">
        <v>24</v>
      </c>
      <c r="K422" s="3" t="str">
        <f t="shared" si="6"/>
        <v>High Income</v>
      </c>
    </row>
    <row r="423" spans="1:11" x14ac:dyDescent="0.35">
      <c r="A423" s="4">
        <v>422</v>
      </c>
      <c r="B423" s="3" t="s">
        <v>445</v>
      </c>
      <c r="C423" s="3" t="s">
        <v>17</v>
      </c>
      <c r="D423" s="3" t="s">
        <v>21</v>
      </c>
      <c r="E423" s="3">
        <v>56015</v>
      </c>
      <c r="F423" s="3">
        <v>157019</v>
      </c>
      <c r="G423" s="3" t="s">
        <v>13</v>
      </c>
      <c r="H423" s="3" t="s">
        <v>19</v>
      </c>
      <c r="I423" s="3">
        <v>729</v>
      </c>
      <c r="J423" s="5" t="s">
        <v>15</v>
      </c>
      <c r="K423" s="3" t="str">
        <f t="shared" si="6"/>
        <v>Medium Income</v>
      </c>
    </row>
    <row r="424" spans="1:11" x14ac:dyDescent="0.35">
      <c r="A424" s="4">
        <v>423</v>
      </c>
      <c r="B424" s="3" t="s">
        <v>446</v>
      </c>
      <c r="C424" s="3" t="s">
        <v>11</v>
      </c>
      <c r="D424" s="3" t="s">
        <v>21</v>
      </c>
      <c r="E424" s="3">
        <v>102409</v>
      </c>
      <c r="F424" s="3">
        <v>42769</v>
      </c>
      <c r="G424" s="3" t="s">
        <v>22</v>
      </c>
      <c r="H424" s="3" t="s">
        <v>19</v>
      </c>
      <c r="I424" s="3">
        <v>870</v>
      </c>
      <c r="J424" s="5" t="s">
        <v>24</v>
      </c>
      <c r="K424" s="3" t="str">
        <f t="shared" si="6"/>
        <v>High Income</v>
      </c>
    </row>
    <row r="425" spans="1:11" x14ac:dyDescent="0.35">
      <c r="A425" s="4">
        <v>424</v>
      </c>
      <c r="B425" s="3" t="s">
        <v>447</v>
      </c>
      <c r="C425" s="3" t="s">
        <v>17</v>
      </c>
      <c r="D425" s="3" t="s">
        <v>12</v>
      </c>
      <c r="E425" s="3">
        <v>88315</v>
      </c>
      <c r="F425" s="3">
        <v>370362</v>
      </c>
      <c r="G425" s="3" t="s">
        <v>13</v>
      </c>
      <c r="H425" s="3" t="s">
        <v>19</v>
      </c>
      <c r="I425" s="3">
        <v>876</v>
      </c>
      <c r="J425" s="5" t="s">
        <v>32</v>
      </c>
      <c r="K425" s="3" t="str">
        <f t="shared" si="6"/>
        <v>High Income</v>
      </c>
    </row>
    <row r="426" spans="1:11" x14ac:dyDescent="0.35">
      <c r="A426" s="4">
        <v>425</v>
      </c>
      <c r="B426" s="3" t="s">
        <v>448</v>
      </c>
      <c r="C426" s="3" t="s">
        <v>17</v>
      </c>
      <c r="D426" s="3" t="s">
        <v>12</v>
      </c>
      <c r="E426" s="3">
        <v>29101</v>
      </c>
      <c r="F426" s="3">
        <v>296790</v>
      </c>
      <c r="G426" s="3" t="s">
        <v>22</v>
      </c>
      <c r="H426" s="3" t="s">
        <v>26</v>
      </c>
      <c r="I426" s="3">
        <v>475</v>
      </c>
      <c r="J426" s="5" t="s">
        <v>15</v>
      </c>
      <c r="K426" s="3" t="str">
        <f t="shared" si="6"/>
        <v>Low Income</v>
      </c>
    </row>
    <row r="427" spans="1:11" x14ac:dyDescent="0.35">
      <c r="A427" s="4">
        <v>426</v>
      </c>
      <c r="B427" s="3" t="s">
        <v>449</v>
      </c>
      <c r="C427" s="3" t="s">
        <v>11</v>
      </c>
      <c r="D427" s="3" t="s">
        <v>12</v>
      </c>
      <c r="E427" s="3">
        <v>75967</v>
      </c>
      <c r="F427" s="3">
        <v>318048</v>
      </c>
      <c r="G427" s="3" t="s">
        <v>22</v>
      </c>
      <c r="H427" s="3" t="s">
        <v>26</v>
      </c>
      <c r="I427" s="3">
        <v>467</v>
      </c>
      <c r="J427" s="5" t="s">
        <v>15</v>
      </c>
      <c r="K427" s="3" t="str">
        <f t="shared" si="6"/>
        <v>Medium Income</v>
      </c>
    </row>
    <row r="428" spans="1:11" x14ac:dyDescent="0.35">
      <c r="A428" s="4">
        <v>427</v>
      </c>
      <c r="B428" s="3" t="s">
        <v>450</v>
      </c>
      <c r="C428" s="3" t="s">
        <v>17</v>
      </c>
      <c r="D428" s="3" t="s">
        <v>12</v>
      </c>
      <c r="E428" s="3">
        <v>43247</v>
      </c>
      <c r="F428" s="3">
        <v>459621</v>
      </c>
      <c r="G428" s="3" t="s">
        <v>13</v>
      </c>
      <c r="H428" s="3" t="s">
        <v>19</v>
      </c>
      <c r="I428" s="3">
        <v>589</v>
      </c>
      <c r="J428" s="5" t="s">
        <v>15</v>
      </c>
      <c r="K428" s="3" t="str">
        <f t="shared" si="6"/>
        <v>Low Income</v>
      </c>
    </row>
    <row r="429" spans="1:11" x14ac:dyDescent="0.35">
      <c r="A429" s="4">
        <v>428</v>
      </c>
      <c r="B429" s="3" t="s">
        <v>451</v>
      </c>
      <c r="C429" s="3" t="s">
        <v>11</v>
      </c>
      <c r="D429" s="3" t="s">
        <v>12</v>
      </c>
      <c r="E429" s="3">
        <v>91652</v>
      </c>
      <c r="F429" s="3">
        <v>273773</v>
      </c>
      <c r="G429" s="3" t="s">
        <v>13</v>
      </c>
      <c r="H429" s="3" t="s">
        <v>14</v>
      </c>
      <c r="I429" s="3">
        <v>691</v>
      </c>
      <c r="J429" s="5" t="s">
        <v>32</v>
      </c>
      <c r="K429" s="3" t="str">
        <f t="shared" si="6"/>
        <v>High Income</v>
      </c>
    </row>
    <row r="430" spans="1:11" x14ac:dyDescent="0.35">
      <c r="A430" s="4">
        <v>429</v>
      </c>
      <c r="B430" s="3" t="s">
        <v>452</v>
      </c>
      <c r="C430" s="3" t="s">
        <v>11</v>
      </c>
      <c r="D430" s="3" t="s">
        <v>12</v>
      </c>
      <c r="E430" s="3">
        <v>116443</v>
      </c>
      <c r="F430" s="3">
        <v>389585</v>
      </c>
      <c r="G430" s="3" t="s">
        <v>13</v>
      </c>
      <c r="H430" s="3" t="s">
        <v>26</v>
      </c>
      <c r="I430" s="3">
        <v>392</v>
      </c>
      <c r="J430" s="5" t="s">
        <v>24</v>
      </c>
      <c r="K430" s="3" t="str">
        <f t="shared" si="6"/>
        <v>High Income</v>
      </c>
    </row>
    <row r="431" spans="1:11" x14ac:dyDescent="0.35">
      <c r="A431" s="4">
        <v>430</v>
      </c>
      <c r="B431" s="3" t="s">
        <v>453</v>
      </c>
      <c r="C431" s="3" t="s">
        <v>11</v>
      </c>
      <c r="D431" s="3" t="s">
        <v>18</v>
      </c>
      <c r="E431" s="3">
        <v>25874</v>
      </c>
      <c r="F431" s="3">
        <v>171916</v>
      </c>
      <c r="G431" s="3" t="s">
        <v>13</v>
      </c>
      <c r="H431" s="3" t="s">
        <v>14</v>
      </c>
      <c r="I431" s="3">
        <v>513</v>
      </c>
      <c r="J431" s="5" t="s">
        <v>24</v>
      </c>
      <c r="K431" s="3" t="str">
        <f t="shared" si="6"/>
        <v>Low Income</v>
      </c>
    </row>
    <row r="432" spans="1:11" x14ac:dyDescent="0.35">
      <c r="A432" s="4">
        <v>431</v>
      </c>
      <c r="B432" s="3" t="s">
        <v>454</v>
      </c>
      <c r="C432" s="3" t="s">
        <v>11</v>
      </c>
      <c r="D432" s="3" t="s">
        <v>21</v>
      </c>
      <c r="E432" s="3">
        <v>98764</v>
      </c>
      <c r="F432" s="3">
        <v>314613</v>
      </c>
      <c r="G432" s="3" t="s">
        <v>13</v>
      </c>
      <c r="H432" s="3" t="s">
        <v>23</v>
      </c>
      <c r="I432" s="3">
        <v>352</v>
      </c>
      <c r="J432" s="5" t="s">
        <v>15</v>
      </c>
      <c r="K432" s="3" t="str">
        <f t="shared" si="6"/>
        <v>High Income</v>
      </c>
    </row>
    <row r="433" spans="1:11" x14ac:dyDescent="0.35">
      <c r="A433" s="4">
        <v>432</v>
      </c>
      <c r="B433" s="3" t="s">
        <v>455</v>
      </c>
      <c r="C433" s="3" t="s">
        <v>11</v>
      </c>
      <c r="D433" s="3" t="s">
        <v>21</v>
      </c>
      <c r="E433" s="3">
        <v>86017</v>
      </c>
      <c r="F433" s="3">
        <v>455745</v>
      </c>
      <c r="G433" s="3" t="s">
        <v>22</v>
      </c>
      <c r="H433" s="3" t="s">
        <v>19</v>
      </c>
      <c r="I433" s="3">
        <v>637</v>
      </c>
      <c r="J433" s="5" t="s">
        <v>24</v>
      </c>
      <c r="K433" s="3" t="str">
        <f t="shared" si="6"/>
        <v>High Income</v>
      </c>
    </row>
    <row r="434" spans="1:11" x14ac:dyDescent="0.35">
      <c r="A434" s="4">
        <v>433</v>
      </c>
      <c r="B434" s="3" t="s">
        <v>456</v>
      </c>
      <c r="C434" s="3" t="s">
        <v>11</v>
      </c>
      <c r="D434" s="3" t="s">
        <v>18</v>
      </c>
      <c r="E434" s="3">
        <v>82283</v>
      </c>
      <c r="F434" s="3">
        <v>320908</v>
      </c>
      <c r="G434" s="3" t="s">
        <v>22</v>
      </c>
      <c r="H434" s="3" t="s">
        <v>19</v>
      </c>
      <c r="I434" s="3">
        <v>322</v>
      </c>
      <c r="J434" s="5" t="s">
        <v>15</v>
      </c>
      <c r="K434" s="3" t="str">
        <f t="shared" si="6"/>
        <v>High Income</v>
      </c>
    </row>
    <row r="435" spans="1:11" x14ac:dyDescent="0.35">
      <c r="A435" s="4">
        <v>434</v>
      </c>
      <c r="B435" s="3" t="s">
        <v>457</v>
      </c>
      <c r="C435" s="3" t="s">
        <v>17</v>
      </c>
      <c r="D435" s="3" t="s">
        <v>12</v>
      </c>
      <c r="E435" s="3">
        <v>59037</v>
      </c>
      <c r="F435" s="3">
        <v>10220</v>
      </c>
      <c r="G435" s="3" t="s">
        <v>13</v>
      </c>
      <c r="H435" s="3" t="s">
        <v>19</v>
      </c>
      <c r="I435" s="3">
        <v>540</v>
      </c>
      <c r="J435" s="5" t="s">
        <v>15</v>
      </c>
      <c r="K435" s="3" t="str">
        <f t="shared" si="6"/>
        <v>Medium Income</v>
      </c>
    </row>
    <row r="436" spans="1:11" x14ac:dyDescent="0.35">
      <c r="A436" s="4">
        <v>435</v>
      </c>
      <c r="B436" s="3" t="s">
        <v>458</v>
      </c>
      <c r="C436" s="3" t="s">
        <v>11</v>
      </c>
      <c r="D436" s="3" t="s">
        <v>12</v>
      </c>
      <c r="E436" s="3">
        <v>21626</v>
      </c>
      <c r="F436" s="3">
        <v>447028</v>
      </c>
      <c r="G436" s="3" t="s">
        <v>22</v>
      </c>
      <c r="H436" s="3" t="s">
        <v>23</v>
      </c>
      <c r="I436" s="3">
        <v>320</v>
      </c>
      <c r="J436" s="5" t="s">
        <v>24</v>
      </c>
      <c r="K436" s="3" t="str">
        <f t="shared" si="6"/>
        <v>Low Income</v>
      </c>
    </row>
    <row r="437" spans="1:11" x14ac:dyDescent="0.35">
      <c r="A437" s="4">
        <v>436</v>
      </c>
      <c r="B437" s="3" t="s">
        <v>459</v>
      </c>
      <c r="C437" s="3" t="s">
        <v>11</v>
      </c>
      <c r="D437" s="3" t="s">
        <v>21</v>
      </c>
      <c r="E437" s="3">
        <v>39885</v>
      </c>
      <c r="F437" s="3">
        <v>147155</v>
      </c>
      <c r="G437" s="3" t="s">
        <v>13</v>
      </c>
      <c r="H437" s="3" t="s">
        <v>14</v>
      </c>
      <c r="I437" s="3">
        <v>345</v>
      </c>
      <c r="J437" s="5" t="s">
        <v>32</v>
      </c>
      <c r="K437" s="3" t="str">
        <f t="shared" si="6"/>
        <v>Low Income</v>
      </c>
    </row>
    <row r="438" spans="1:11" x14ac:dyDescent="0.35">
      <c r="A438" s="4">
        <v>437</v>
      </c>
      <c r="B438" s="3" t="s">
        <v>460</v>
      </c>
      <c r="C438" s="3" t="s">
        <v>17</v>
      </c>
      <c r="D438" s="3" t="s">
        <v>18</v>
      </c>
      <c r="E438" s="3">
        <v>51010</v>
      </c>
      <c r="F438" s="3">
        <v>497896</v>
      </c>
      <c r="G438" s="3" t="s">
        <v>22</v>
      </c>
      <c r="H438" s="3" t="s">
        <v>14</v>
      </c>
      <c r="I438" s="3">
        <v>349</v>
      </c>
      <c r="J438" s="5" t="s">
        <v>32</v>
      </c>
      <c r="K438" s="3" t="str">
        <f t="shared" si="6"/>
        <v>Medium Income</v>
      </c>
    </row>
    <row r="439" spans="1:11" x14ac:dyDescent="0.35">
      <c r="A439" s="4">
        <v>438</v>
      </c>
      <c r="B439" s="3" t="s">
        <v>461</v>
      </c>
      <c r="C439" s="3" t="s">
        <v>17</v>
      </c>
      <c r="D439" s="3" t="s">
        <v>12</v>
      </c>
      <c r="E439" s="3">
        <v>84574</v>
      </c>
      <c r="F439" s="3">
        <v>222804</v>
      </c>
      <c r="G439" s="3" t="s">
        <v>22</v>
      </c>
      <c r="H439" s="3" t="s">
        <v>26</v>
      </c>
      <c r="I439" s="3">
        <v>574</v>
      </c>
      <c r="J439" s="5" t="s">
        <v>32</v>
      </c>
      <c r="K439" s="3" t="str">
        <f t="shared" si="6"/>
        <v>High Income</v>
      </c>
    </row>
    <row r="440" spans="1:11" x14ac:dyDescent="0.35">
      <c r="A440" s="4">
        <v>439</v>
      </c>
      <c r="B440" s="3" t="s">
        <v>462</v>
      </c>
      <c r="C440" s="3" t="s">
        <v>17</v>
      </c>
      <c r="D440" s="3" t="s">
        <v>21</v>
      </c>
      <c r="E440" s="3">
        <v>62925</v>
      </c>
      <c r="F440" s="3">
        <v>460672</v>
      </c>
      <c r="G440" s="3" t="s">
        <v>22</v>
      </c>
      <c r="H440" s="3" t="s">
        <v>26</v>
      </c>
      <c r="I440" s="3">
        <v>473</v>
      </c>
      <c r="J440" s="5" t="s">
        <v>24</v>
      </c>
      <c r="K440" s="3" t="str">
        <f t="shared" si="6"/>
        <v>Medium Income</v>
      </c>
    </row>
    <row r="441" spans="1:11" x14ac:dyDescent="0.35">
      <c r="A441" s="4">
        <v>440</v>
      </c>
      <c r="B441" s="3" t="s">
        <v>463</v>
      </c>
      <c r="C441" s="3" t="s">
        <v>11</v>
      </c>
      <c r="D441" s="3" t="s">
        <v>12</v>
      </c>
      <c r="E441" s="3">
        <v>20759</v>
      </c>
      <c r="F441" s="3">
        <v>464295</v>
      </c>
      <c r="G441" s="3" t="s">
        <v>22</v>
      </c>
      <c r="H441" s="3" t="s">
        <v>19</v>
      </c>
      <c r="I441" s="3">
        <v>305</v>
      </c>
      <c r="J441" s="5" t="s">
        <v>15</v>
      </c>
      <c r="K441" s="3" t="str">
        <f t="shared" si="6"/>
        <v>Low Income</v>
      </c>
    </row>
    <row r="442" spans="1:11" x14ac:dyDescent="0.35">
      <c r="A442" s="4">
        <v>441</v>
      </c>
      <c r="B442" s="3" t="s">
        <v>464</v>
      </c>
      <c r="C442" s="3" t="s">
        <v>11</v>
      </c>
      <c r="D442" s="3" t="s">
        <v>18</v>
      </c>
      <c r="E442" s="3">
        <v>31223</v>
      </c>
      <c r="F442" s="3">
        <v>184848</v>
      </c>
      <c r="G442" s="3" t="s">
        <v>13</v>
      </c>
      <c r="H442" s="3" t="s">
        <v>19</v>
      </c>
      <c r="I442" s="3">
        <v>814</v>
      </c>
      <c r="J442" s="5" t="s">
        <v>24</v>
      </c>
      <c r="K442" s="3" t="str">
        <f t="shared" si="6"/>
        <v>Low Income</v>
      </c>
    </row>
    <row r="443" spans="1:11" x14ac:dyDescent="0.35">
      <c r="A443" s="4">
        <v>442</v>
      </c>
      <c r="B443" s="3" t="s">
        <v>465</v>
      </c>
      <c r="C443" s="3" t="s">
        <v>11</v>
      </c>
      <c r="D443" s="3" t="s">
        <v>21</v>
      </c>
      <c r="E443" s="3">
        <v>82496</v>
      </c>
      <c r="F443" s="3">
        <v>467399</v>
      </c>
      <c r="G443" s="3" t="s">
        <v>13</v>
      </c>
      <c r="H443" s="3" t="s">
        <v>23</v>
      </c>
      <c r="I443" s="3">
        <v>866</v>
      </c>
      <c r="J443" s="5" t="s">
        <v>32</v>
      </c>
      <c r="K443" s="3" t="str">
        <f t="shared" si="6"/>
        <v>High Income</v>
      </c>
    </row>
    <row r="444" spans="1:11" x14ac:dyDescent="0.35">
      <c r="A444" s="4">
        <v>443</v>
      </c>
      <c r="B444" s="3" t="s">
        <v>466</v>
      </c>
      <c r="C444" s="3" t="s">
        <v>17</v>
      </c>
      <c r="D444" s="3" t="s">
        <v>12</v>
      </c>
      <c r="E444" s="3">
        <v>68720</v>
      </c>
      <c r="F444" s="3">
        <v>265281</v>
      </c>
      <c r="G444" s="3" t="s">
        <v>22</v>
      </c>
      <c r="H444" s="3" t="s">
        <v>14</v>
      </c>
      <c r="I444" s="3">
        <v>398</v>
      </c>
      <c r="J444" s="5" t="s">
        <v>15</v>
      </c>
      <c r="K444" s="3" t="str">
        <f t="shared" si="6"/>
        <v>Medium Income</v>
      </c>
    </row>
    <row r="445" spans="1:11" x14ac:dyDescent="0.35">
      <c r="A445" s="4">
        <v>444</v>
      </c>
      <c r="B445" s="3" t="s">
        <v>467</v>
      </c>
      <c r="C445" s="3" t="s">
        <v>17</v>
      </c>
      <c r="D445" s="3" t="s">
        <v>21</v>
      </c>
      <c r="E445" s="3">
        <v>24608</v>
      </c>
      <c r="F445" s="3">
        <v>341624</v>
      </c>
      <c r="G445" s="3" t="s">
        <v>22</v>
      </c>
      <c r="H445" s="3" t="s">
        <v>23</v>
      </c>
      <c r="I445" s="3">
        <v>363</v>
      </c>
      <c r="J445" s="5" t="s">
        <v>15</v>
      </c>
      <c r="K445" s="3" t="str">
        <f t="shared" si="6"/>
        <v>Low Income</v>
      </c>
    </row>
    <row r="446" spans="1:11" x14ac:dyDescent="0.35">
      <c r="A446" s="4">
        <v>445</v>
      </c>
      <c r="B446" s="3" t="s">
        <v>468</v>
      </c>
      <c r="C446" s="3" t="s">
        <v>11</v>
      </c>
      <c r="D446" s="3" t="s">
        <v>18</v>
      </c>
      <c r="E446" s="3">
        <v>109404</v>
      </c>
      <c r="F446" s="3">
        <v>115283</v>
      </c>
      <c r="G446" s="3" t="s">
        <v>13</v>
      </c>
      <c r="H446" s="3" t="s">
        <v>23</v>
      </c>
      <c r="I446" s="3">
        <v>484</v>
      </c>
      <c r="J446" s="5" t="s">
        <v>24</v>
      </c>
      <c r="K446" s="3" t="str">
        <f t="shared" si="6"/>
        <v>High Income</v>
      </c>
    </row>
    <row r="447" spans="1:11" x14ac:dyDescent="0.35">
      <c r="A447" s="4">
        <v>446</v>
      </c>
      <c r="B447" s="3" t="s">
        <v>469</v>
      </c>
      <c r="C447" s="3" t="s">
        <v>17</v>
      </c>
      <c r="D447" s="3" t="s">
        <v>12</v>
      </c>
      <c r="E447" s="3">
        <v>77642</v>
      </c>
      <c r="F447" s="3">
        <v>176332</v>
      </c>
      <c r="G447" s="3" t="s">
        <v>22</v>
      </c>
      <c r="H447" s="3" t="s">
        <v>14</v>
      </c>
      <c r="I447" s="3">
        <v>683</v>
      </c>
      <c r="J447" s="5" t="s">
        <v>32</v>
      </c>
      <c r="K447" s="3" t="str">
        <f t="shared" si="6"/>
        <v>Medium Income</v>
      </c>
    </row>
    <row r="448" spans="1:11" x14ac:dyDescent="0.35">
      <c r="A448" s="4">
        <v>447</v>
      </c>
      <c r="B448" s="3" t="s">
        <v>470</v>
      </c>
      <c r="C448" s="3" t="s">
        <v>17</v>
      </c>
      <c r="D448" s="3" t="s">
        <v>18</v>
      </c>
      <c r="E448" s="3">
        <v>92556</v>
      </c>
      <c r="F448" s="3">
        <v>50843</v>
      </c>
      <c r="G448" s="3" t="s">
        <v>22</v>
      </c>
      <c r="H448" s="3" t="s">
        <v>23</v>
      </c>
      <c r="I448" s="3">
        <v>733</v>
      </c>
      <c r="J448" s="5" t="s">
        <v>24</v>
      </c>
      <c r="K448" s="3" t="str">
        <f t="shared" si="6"/>
        <v>High Income</v>
      </c>
    </row>
    <row r="449" spans="1:11" x14ac:dyDescent="0.35">
      <c r="A449" s="4">
        <v>448</v>
      </c>
      <c r="B449" s="3" t="s">
        <v>471</v>
      </c>
      <c r="C449" s="3" t="s">
        <v>11</v>
      </c>
      <c r="D449" s="3" t="s">
        <v>21</v>
      </c>
      <c r="E449" s="3">
        <v>71936</v>
      </c>
      <c r="F449" s="3">
        <v>30995</v>
      </c>
      <c r="G449" s="3" t="s">
        <v>13</v>
      </c>
      <c r="H449" s="3" t="s">
        <v>14</v>
      </c>
      <c r="I449" s="3">
        <v>429</v>
      </c>
      <c r="J449" s="5" t="s">
        <v>32</v>
      </c>
      <c r="K449" s="3" t="str">
        <f t="shared" si="6"/>
        <v>Medium Income</v>
      </c>
    </row>
    <row r="450" spans="1:11" x14ac:dyDescent="0.35">
      <c r="A450" s="4">
        <v>449</v>
      </c>
      <c r="B450" s="3" t="s">
        <v>472</v>
      </c>
      <c r="C450" s="3" t="s">
        <v>11</v>
      </c>
      <c r="D450" s="3" t="s">
        <v>21</v>
      </c>
      <c r="E450" s="3">
        <v>86066</v>
      </c>
      <c r="F450" s="3">
        <v>7882</v>
      </c>
      <c r="G450" s="3" t="s">
        <v>13</v>
      </c>
      <c r="H450" s="3" t="s">
        <v>14</v>
      </c>
      <c r="I450" s="3">
        <v>847</v>
      </c>
      <c r="J450" s="5" t="s">
        <v>15</v>
      </c>
      <c r="K450" s="3" t="str">
        <f t="shared" ref="K450:K501" si="7">IF(E450&gt;80000,"High Income",IF(E450&gt;=50000,"Medium Income","Low Income"))</f>
        <v>High Income</v>
      </c>
    </row>
    <row r="451" spans="1:11" x14ac:dyDescent="0.35">
      <c r="A451" s="4">
        <v>450</v>
      </c>
      <c r="B451" s="3" t="s">
        <v>473</v>
      </c>
      <c r="C451" s="3" t="s">
        <v>11</v>
      </c>
      <c r="D451" s="3" t="s">
        <v>12</v>
      </c>
      <c r="E451" s="3">
        <v>67695</v>
      </c>
      <c r="F451" s="3">
        <v>88758</v>
      </c>
      <c r="G451" s="3" t="s">
        <v>13</v>
      </c>
      <c r="H451" s="3" t="s">
        <v>19</v>
      </c>
      <c r="I451" s="3">
        <v>412</v>
      </c>
      <c r="J451" s="5" t="s">
        <v>15</v>
      </c>
      <c r="K451" s="3" t="str">
        <f t="shared" si="7"/>
        <v>Medium Income</v>
      </c>
    </row>
    <row r="452" spans="1:11" x14ac:dyDescent="0.35">
      <c r="A452" s="4">
        <v>451</v>
      </c>
      <c r="B452" s="3" t="s">
        <v>474</v>
      </c>
      <c r="C452" s="3" t="s">
        <v>11</v>
      </c>
      <c r="D452" s="3" t="s">
        <v>21</v>
      </c>
      <c r="E452" s="3">
        <v>90168</v>
      </c>
      <c r="F452" s="3">
        <v>385299</v>
      </c>
      <c r="G452" s="3" t="s">
        <v>22</v>
      </c>
      <c r="H452" s="3" t="s">
        <v>19</v>
      </c>
      <c r="I452" s="3">
        <v>432</v>
      </c>
      <c r="J452" s="5" t="s">
        <v>15</v>
      </c>
      <c r="K452" s="3" t="str">
        <f t="shared" si="7"/>
        <v>High Income</v>
      </c>
    </row>
    <row r="453" spans="1:11" x14ac:dyDescent="0.35">
      <c r="A453" s="4">
        <v>452</v>
      </c>
      <c r="B453" s="3" t="s">
        <v>475</v>
      </c>
      <c r="C453" s="3" t="s">
        <v>17</v>
      </c>
      <c r="D453" s="3" t="s">
        <v>12</v>
      </c>
      <c r="E453" s="3">
        <v>74671</v>
      </c>
      <c r="F453" s="3">
        <v>294173</v>
      </c>
      <c r="G453" s="3" t="s">
        <v>22</v>
      </c>
      <c r="H453" s="3" t="s">
        <v>23</v>
      </c>
      <c r="I453" s="3">
        <v>859</v>
      </c>
      <c r="J453" s="5" t="s">
        <v>24</v>
      </c>
      <c r="K453" s="3" t="str">
        <f t="shared" si="7"/>
        <v>Medium Income</v>
      </c>
    </row>
    <row r="454" spans="1:11" x14ac:dyDescent="0.35">
      <c r="A454" s="4">
        <v>453</v>
      </c>
      <c r="B454" s="3" t="s">
        <v>476</v>
      </c>
      <c r="C454" s="3" t="s">
        <v>17</v>
      </c>
      <c r="D454" s="3" t="s">
        <v>21</v>
      </c>
      <c r="E454" s="3">
        <v>75195</v>
      </c>
      <c r="F454" s="3">
        <v>166350</v>
      </c>
      <c r="G454" s="3" t="s">
        <v>22</v>
      </c>
      <c r="H454" s="3" t="s">
        <v>23</v>
      </c>
      <c r="I454" s="3">
        <v>660</v>
      </c>
      <c r="J454" s="5" t="s">
        <v>24</v>
      </c>
      <c r="K454" s="3" t="str">
        <f t="shared" si="7"/>
        <v>Medium Income</v>
      </c>
    </row>
    <row r="455" spans="1:11" x14ac:dyDescent="0.35">
      <c r="A455" s="4">
        <v>454</v>
      </c>
      <c r="B455" s="3" t="s">
        <v>477</v>
      </c>
      <c r="C455" s="3" t="s">
        <v>11</v>
      </c>
      <c r="D455" s="3" t="s">
        <v>12</v>
      </c>
      <c r="E455" s="3">
        <v>42216</v>
      </c>
      <c r="F455" s="3">
        <v>289463</v>
      </c>
      <c r="G455" s="3" t="s">
        <v>13</v>
      </c>
      <c r="H455" s="3" t="s">
        <v>19</v>
      </c>
      <c r="I455" s="3">
        <v>710</v>
      </c>
      <c r="J455" s="5" t="s">
        <v>24</v>
      </c>
      <c r="K455" s="3" t="str">
        <f t="shared" si="7"/>
        <v>Low Income</v>
      </c>
    </row>
    <row r="456" spans="1:11" x14ac:dyDescent="0.35">
      <c r="A456" s="4">
        <v>455</v>
      </c>
      <c r="B456" s="3" t="s">
        <v>478</v>
      </c>
      <c r="C456" s="3" t="s">
        <v>11</v>
      </c>
      <c r="D456" s="3" t="s">
        <v>12</v>
      </c>
      <c r="E456" s="3">
        <v>119562</v>
      </c>
      <c r="F456" s="3">
        <v>291086</v>
      </c>
      <c r="G456" s="3" t="s">
        <v>13</v>
      </c>
      <c r="H456" s="3" t="s">
        <v>26</v>
      </c>
      <c r="I456" s="3">
        <v>372</v>
      </c>
      <c r="J456" s="5" t="s">
        <v>24</v>
      </c>
      <c r="K456" s="3" t="str">
        <f t="shared" si="7"/>
        <v>High Income</v>
      </c>
    </row>
    <row r="457" spans="1:11" x14ac:dyDescent="0.35">
      <c r="A457" s="4">
        <v>456</v>
      </c>
      <c r="B457" s="3" t="s">
        <v>479</v>
      </c>
      <c r="C457" s="3" t="s">
        <v>17</v>
      </c>
      <c r="D457" s="3" t="s">
        <v>18</v>
      </c>
      <c r="E457" s="3">
        <v>90527</v>
      </c>
      <c r="F457" s="3">
        <v>320570</v>
      </c>
      <c r="G457" s="3" t="s">
        <v>22</v>
      </c>
      <c r="H457" s="3" t="s">
        <v>23</v>
      </c>
      <c r="I457" s="3">
        <v>431</v>
      </c>
      <c r="J457" s="5" t="s">
        <v>15</v>
      </c>
      <c r="K457" s="3" t="str">
        <f t="shared" si="7"/>
        <v>High Income</v>
      </c>
    </row>
    <row r="458" spans="1:11" x14ac:dyDescent="0.35">
      <c r="A458" s="4">
        <v>457</v>
      </c>
      <c r="B458" s="3" t="s">
        <v>480</v>
      </c>
      <c r="C458" s="3" t="s">
        <v>17</v>
      </c>
      <c r="D458" s="3" t="s">
        <v>12</v>
      </c>
      <c r="E458" s="3">
        <v>76827</v>
      </c>
      <c r="F458" s="3">
        <v>210506</v>
      </c>
      <c r="G458" s="3" t="s">
        <v>13</v>
      </c>
      <c r="H458" s="3" t="s">
        <v>19</v>
      </c>
      <c r="I458" s="3">
        <v>625</v>
      </c>
      <c r="J458" s="5" t="s">
        <v>24</v>
      </c>
      <c r="K458" s="3" t="str">
        <f t="shared" si="7"/>
        <v>Medium Income</v>
      </c>
    </row>
    <row r="459" spans="1:11" x14ac:dyDescent="0.35">
      <c r="A459" s="4">
        <v>458</v>
      </c>
      <c r="B459" s="3" t="s">
        <v>481</v>
      </c>
      <c r="C459" s="3" t="s">
        <v>11</v>
      </c>
      <c r="D459" s="3" t="s">
        <v>18</v>
      </c>
      <c r="E459" s="3">
        <v>93294</v>
      </c>
      <c r="F459" s="3">
        <v>372522</v>
      </c>
      <c r="G459" s="3" t="s">
        <v>13</v>
      </c>
      <c r="H459" s="3" t="s">
        <v>19</v>
      </c>
      <c r="I459" s="3">
        <v>335</v>
      </c>
      <c r="J459" s="5" t="s">
        <v>32</v>
      </c>
      <c r="K459" s="3" t="str">
        <f t="shared" si="7"/>
        <v>High Income</v>
      </c>
    </row>
    <row r="460" spans="1:11" x14ac:dyDescent="0.35">
      <c r="A460" s="4">
        <v>459</v>
      </c>
      <c r="B460" s="3" t="s">
        <v>482</v>
      </c>
      <c r="C460" s="3" t="s">
        <v>11</v>
      </c>
      <c r="D460" s="3" t="s">
        <v>12</v>
      </c>
      <c r="E460" s="3">
        <v>48588</v>
      </c>
      <c r="F460" s="3">
        <v>245475</v>
      </c>
      <c r="G460" s="3" t="s">
        <v>13</v>
      </c>
      <c r="H460" s="3" t="s">
        <v>26</v>
      </c>
      <c r="I460" s="3">
        <v>516</v>
      </c>
      <c r="J460" s="5" t="s">
        <v>32</v>
      </c>
      <c r="K460" s="3" t="str">
        <f t="shared" si="7"/>
        <v>Low Income</v>
      </c>
    </row>
    <row r="461" spans="1:11" x14ac:dyDescent="0.35">
      <c r="A461" s="4">
        <v>460</v>
      </c>
      <c r="B461" s="3" t="s">
        <v>483</v>
      </c>
      <c r="C461" s="3" t="s">
        <v>11</v>
      </c>
      <c r="D461" s="3" t="s">
        <v>12</v>
      </c>
      <c r="E461" s="3">
        <v>46989</v>
      </c>
      <c r="F461" s="3">
        <v>166967</v>
      </c>
      <c r="G461" s="3" t="s">
        <v>22</v>
      </c>
      <c r="H461" s="3" t="s">
        <v>19</v>
      </c>
      <c r="I461" s="3">
        <v>414</v>
      </c>
      <c r="J461" s="5" t="s">
        <v>32</v>
      </c>
      <c r="K461" s="3" t="str">
        <f t="shared" si="7"/>
        <v>Low Income</v>
      </c>
    </row>
    <row r="462" spans="1:11" x14ac:dyDescent="0.35">
      <c r="A462" s="4">
        <v>461</v>
      </c>
      <c r="B462" s="3" t="s">
        <v>484</v>
      </c>
      <c r="C462" s="3" t="s">
        <v>11</v>
      </c>
      <c r="D462" s="3" t="s">
        <v>12</v>
      </c>
      <c r="E462" s="3">
        <v>64075</v>
      </c>
      <c r="F462" s="3">
        <v>452040</v>
      </c>
      <c r="G462" s="3" t="s">
        <v>13</v>
      </c>
      <c r="H462" s="3" t="s">
        <v>23</v>
      </c>
      <c r="I462" s="3">
        <v>840</v>
      </c>
      <c r="J462" s="5" t="s">
        <v>15</v>
      </c>
      <c r="K462" s="3" t="str">
        <f t="shared" si="7"/>
        <v>Medium Income</v>
      </c>
    </row>
    <row r="463" spans="1:11" x14ac:dyDescent="0.35">
      <c r="A463" s="4">
        <v>462</v>
      </c>
      <c r="B463" s="3" t="s">
        <v>485</v>
      </c>
      <c r="C463" s="3" t="s">
        <v>11</v>
      </c>
      <c r="D463" s="3" t="s">
        <v>21</v>
      </c>
      <c r="E463" s="3">
        <v>73930</v>
      </c>
      <c r="F463" s="3">
        <v>21286</v>
      </c>
      <c r="G463" s="3" t="s">
        <v>13</v>
      </c>
      <c r="H463" s="3" t="s">
        <v>19</v>
      </c>
      <c r="I463" s="3">
        <v>778</v>
      </c>
      <c r="J463" s="5" t="s">
        <v>15</v>
      </c>
      <c r="K463" s="3" t="str">
        <f t="shared" si="7"/>
        <v>Medium Income</v>
      </c>
    </row>
    <row r="464" spans="1:11" x14ac:dyDescent="0.35">
      <c r="A464" s="4">
        <v>463</v>
      </c>
      <c r="B464" s="3" t="s">
        <v>486</v>
      </c>
      <c r="C464" s="3" t="s">
        <v>17</v>
      </c>
      <c r="D464" s="3" t="s">
        <v>18</v>
      </c>
      <c r="E464" s="3">
        <v>60385</v>
      </c>
      <c r="F464" s="3">
        <v>247626</v>
      </c>
      <c r="G464" s="3" t="s">
        <v>22</v>
      </c>
      <c r="H464" s="3" t="s">
        <v>19</v>
      </c>
      <c r="I464" s="3">
        <v>743</v>
      </c>
      <c r="J464" s="5" t="s">
        <v>24</v>
      </c>
      <c r="K464" s="3" t="str">
        <f t="shared" si="7"/>
        <v>Medium Income</v>
      </c>
    </row>
    <row r="465" spans="1:11" x14ac:dyDescent="0.35">
      <c r="A465" s="4">
        <v>464</v>
      </c>
      <c r="B465" s="3" t="s">
        <v>487</v>
      </c>
      <c r="C465" s="3" t="s">
        <v>11</v>
      </c>
      <c r="D465" s="3" t="s">
        <v>21</v>
      </c>
      <c r="E465" s="3">
        <v>107128</v>
      </c>
      <c r="F465" s="3">
        <v>22133</v>
      </c>
      <c r="G465" s="3" t="s">
        <v>13</v>
      </c>
      <c r="H465" s="3" t="s">
        <v>26</v>
      </c>
      <c r="I465" s="3">
        <v>783</v>
      </c>
      <c r="J465" s="5" t="s">
        <v>24</v>
      </c>
      <c r="K465" s="3" t="str">
        <f t="shared" si="7"/>
        <v>High Income</v>
      </c>
    </row>
    <row r="466" spans="1:11" x14ac:dyDescent="0.35">
      <c r="A466" s="4">
        <v>465</v>
      </c>
      <c r="B466" s="3" t="s">
        <v>488</v>
      </c>
      <c r="C466" s="3" t="s">
        <v>17</v>
      </c>
      <c r="D466" s="3" t="s">
        <v>12</v>
      </c>
      <c r="E466" s="3">
        <v>61777</v>
      </c>
      <c r="F466" s="3">
        <v>29512</v>
      </c>
      <c r="G466" s="3" t="s">
        <v>13</v>
      </c>
      <c r="H466" s="3" t="s">
        <v>14</v>
      </c>
      <c r="I466" s="3">
        <v>750</v>
      </c>
      <c r="J466" s="5" t="s">
        <v>32</v>
      </c>
      <c r="K466" s="3" t="str">
        <f t="shared" si="7"/>
        <v>Medium Income</v>
      </c>
    </row>
    <row r="467" spans="1:11" x14ac:dyDescent="0.35">
      <c r="A467" s="4">
        <v>466</v>
      </c>
      <c r="B467" s="3" t="s">
        <v>489</v>
      </c>
      <c r="C467" s="3" t="s">
        <v>17</v>
      </c>
      <c r="D467" s="3" t="s">
        <v>12</v>
      </c>
      <c r="E467" s="3">
        <v>25072</v>
      </c>
      <c r="F467" s="3">
        <v>91505</v>
      </c>
      <c r="G467" s="3" t="s">
        <v>13</v>
      </c>
      <c r="H467" s="3" t="s">
        <v>14</v>
      </c>
      <c r="I467" s="3">
        <v>686</v>
      </c>
      <c r="J467" s="5" t="s">
        <v>15</v>
      </c>
      <c r="K467" s="3" t="str">
        <f t="shared" si="7"/>
        <v>Low Income</v>
      </c>
    </row>
    <row r="468" spans="1:11" x14ac:dyDescent="0.35">
      <c r="A468" s="4">
        <v>467</v>
      </c>
      <c r="B468" s="3" t="s">
        <v>490</v>
      </c>
      <c r="C468" s="3" t="s">
        <v>11</v>
      </c>
      <c r="D468" s="3" t="s">
        <v>21</v>
      </c>
      <c r="E468" s="3">
        <v>62980</v>
      </c>
      <c r="F468" s="3">
        <v>391395</v>
      </c>
      <c r="G468" s="3" t="s">
        <v>22</v>
      </c>
      <c r="H468" s="3" t="s">
        <v>19</v>
      </c>
      <c r="I468" s="3">
        <v>325</v>
      </c>
      <c r="J468" s="5" t="s">
        <v>32</v>
      </c>
      <c r="K468" s="3" t="str">
        <f t="shared" si="7"/>
        <v>Medium Income</v>
      </c>
    </row>
    <row r="469" spans="1:11" x14ac:dyDescent="0.35">
      <c r="A469" s="4">
        <v>468</v>
      </c>
      <c r="B469" s="3" t="s">
        <v>491</v>
      </c>
      <c r="C469" s="3" t="s">
        <v>11</v>
      </c>
      <c r="D469" s="3" t="s">
        <v>12</v>
      </c>
      <c r="E469" s="3">
        <v>75610</v>
      </c>
      <c r="F469" s="3">
        <v>436055</v>
      </c>
      <c r="G469" s="3" t="s">
        <v>22</v>
      </c>
      <c r="H469" s="3" t="s">
        <v>23</v>
      </c>
      <c r="I469" s="3">
        <v>610</v>
      </c>
      <c r="J469" s="5" t="s">
        <v>24</v>
      </c>
      <c r="K469" s="3" t="str">
        <f t="shared" si="7"/>
        <v>Medium Income</v>
      </c>
    </row>
    <row r="470" spans="1:11" x14ac:dyDescent="0.35">
      <c r="A470" s="4">
        <v>469</v>
      </c>
      <c r="B470" s="3" t="s">
        <v>492</v>
      </c>
      <c r="C470" s="3" t="s">
        <v>11</v>
      </c>
      <c r="D470" s="3" t="s">
        <v>18</v>
      </c>
      <c r="E470" s="3">
        <v>94437</v>
      </c>
      <c r="F470" s="3">
        <v>459141</v>
      </c>
      <c r="G470" s="3" t="s">
        <v>22</v>
      </c>
      <c r="H470" s="3" t="s">
        <v>19</v>
      </c>
      <c r="I470" s="3">
        <v>393</v>
      </c>
      <c r="J470" s="5" t="s">
        <v>32</v>
      </c>
      <c r="K470" s="3" t="str">
        <f t="shared" si="7"/>
        <v>High Income</v>
      </c>
    </row>
    <row r="471" spans="1:11" x14ac:dyDescent="0.35">
      <c r="A471" s="4">
        <v>470</v>
      </c>
      <c r="B471" s="3" t="s">
        <v>493</v>
      </c>
      <c r="C471" s="3" t="s">
        <v>11</v>
      </c>
      <c r="D471" s="3" t="s">
        <v>21</v>
      </c>
      <c r="E471" s="3">
        <v>108716</v>
      </c>
      <c r="F471" s="3">
        <v>57258</v>
      </c>
      <c r="G471" s="3" t="s">
        <v>22</v>
      </c>
      <c r="H471" s="3" t="s">
        <v>26</v>
      </c>
      <c r="I471" s="3">
        <v>670</v>
      </c>
      <c r="J471" s="5" t="s">
        <v>24</v>
      </c>
      <c r="K471" s="3" t="str">
        <f t="shared" si="7"/>
        <v>High Income</v>
      </c>
    </row>
    <row r="472" spans="1:11" x14ac:dyDescent="0.35">
      <c r="A472" s="4">
        <v>471</v>
      </c>
      <c r="B472" s="3" t="s">
        <v>494</v>
      </c>
      <c r="C472" s="3" t="s">
        <v>17</v>
      </c>
      <c r="D472" s="3" t="s">
        <v>18</v>
      </c>
      <c r="E472" s="3">
        <v>71368</v>
      </c>
      <c r="F472" s="3">
        <v>130863</v>
      </c>
      <c r="G472" s="3" t="s">
        <v>13</v>
      </c>
      <c r="H472" s="3" t="s">
        <v>19</v>
      </c>
      <c r="I472" s="3">
        <v>362</v>
      </c>
      <c r="J472" s="5" t="s">
        <v>32</v>
      </c>
      <c r="K472" s="3" t="str">
        <f t="shared" si="7"/>
        <v>Medium Income</v>
      </c>
    </row>
    <row r="473" spans="1:11" x14ac:dyDescent="0.35">
      <c r="A473" s="4">
        <v>472</v>
      </c>
      <c r="B473" s="3" t="s">
        <v>495</v>
      </c>
      <c r="C473" s="3" t="s">
        <v>11</v>
      </c>
      <c r="D473" s="3" t="s">
        <v>21</v>
      </c>
      <c r="E473" s="3">
        <v>56863</v>
      </c>
      <c r="F473" s="3">
        <v>228962</v>
      </c>
      <c r="G473" s="3" t="s">
        <v>22</v>
      </c>
      <c r="H473" s="3" t="s">
        <v>23</v>
      </c>
      <c r="I473" s="3">
        <v>717</v>
      </c>
      <c r="J473" s="5" t="s">
        <v>15</v>
      </c>
      <c r="K473" s="3" t="str">
        <f t="shared" si="7"/>
        <v>Medium Income</v>
      </c>
    </row>
    <row r="474" spans="1:11" x14ac:dyDescent="0.35">
      <c r="A474" s="4">
        <v>473</v>
      </c>
      <c r="B474" s="3" t="s">
        <v>496</v>
      </c>
      <c r="C474" s="3" t="s">
        <v>11</v>
      </c>
      <c r="D474" s="3" t="s">
        <v>12</v>
      </c>
      <c r="E474" s="3">
        <v>101668</v>
      </c>
      <c r="F474" s="3">
        <v>189563</v>
      </c>
      <c r="G474" s="3" t="s">
        <v>13</v>
      </c>
      <c r="H474" s="3" t="s">
        <v>19</v>
      </c>
      <c r="I474" s="3">
        <v>835</v>
      </c>
      <c r="J474" s="5" t="s">
        <v>15</v>
      </c>
      <c r="K474" s="3" t="str">
        <f t="shared" si="7"/>
        <v>High Income</v>
      </c>
    </row>
    <row r="475" spans="1:11" x14ac:dyDescent="0.35">
      <c r="A475" s="4">
        <v>474</v>
      </c>
      <c r="B475" s="3" t="s">
        <v>497</v>
      </c>
      <c r="C475" s="3" t="s">
        <v>11</v>
      </c>
      <c r="D475" s="3" t="s">
        <v>12</v>
      </c>
      <c r="E475" s="3">
        <v>48777</v>
      </c>
      <c r="F475" s="3">
        <v>461536</v>
      </c>
      <c r="G475" s="3" t="s">
        <v>13</v>
      </c>
      <c r="H475" s="3" t="s">
        <v>19</v>
      </c>
      <c r="I475" s="3">
        <v>472</v>
      </c>
      <c r="J475" s="5" t="s">
        <v>15</v>
      </c>
      <c r="K475" s="3" t="str">
        <f t="shared" si="7"/>
        <v>Low Income</v>
      </c>
    </row>
    <row r="476" spans="1:11" x14ac:dyDescent="0.35">
      <c r="A476" s="4">
        <v>475</v>
      </c>
      <c r="B476" s="3" t="s">
        <v>498</v>
      </c>
      <c r="C476" s="3" t="s">
        <v>11</v>
      </c>
      <c r="D476" s="3" t="s">
        <v>18</v>
      </c>
      <c r="E476" s="3">
        <v>23419</v>
      </c>
      <c r="F476" s="3">
        <v>297979</v>
      </c>
      <c r="G476" s="3" t="s">
        <v>13</v>
      </c>
      <c r="H476" s="3" t="s">
        <v>19</v>
      </c>
      <c r="I476" s="3">
        <v>711</v>
      </c>
      <c r="J476" s="5" t="s">
        <v>32</v>
      </c>
      <c r="K476" s="3" t="str">
        <f t="shared" si="7"/>
        <v>Low Income</v>
      </c>
    </row>
    <row r="477" spans="1:11" x14ac:dyDescent="0.35">
      <c r="A477" s="4">
        <v>476</v>
      </c>
      <c r="B477" s="3" t="s">
        <v>499</v>
      </c>
      <c r="C477" s="3" t="s">
        <v>17</v>
      </c>
      <c r="D477" s="3" t="s">
        <v>18</v>
      </c>
      <c r="E477" s="3">
        <v>100834</v>
      </c>
      <c r="F477" s="3">
        <v>64559</v>
      </c>
      <c r="G477" s="3" t="s">
        <v>22</v>
      </c>
      <c r="H477" s="3" t="s">
        <v>23</v>
      </c>
      <c r="I477" s="3">
        <v>372</v>
      </c>
      <c r="J477" s="5" t="s">
        <v>15</v>
      </c>
      <c r="K477" s="3" t="str">
        <f t="shared" si="7"/>
        <v>High Income</v>
      </c>
    </row>
    <row r="478" spans="1:11" x14ac:dyDescent="0.35">
      <c r="A478" s="4">
        <v>477</v>
      </c>
      <c r="B478" s="3" t="s">
        <v>500</v>
      </c>
      <c r="C478" s="3" t="s">
        <v>11</v>
      </c>
      <c r="D478" s="3" t="s">
        <v>12</v>
      </c>
      <c r="E478" s="3">
        <v>62419</v>
      </c>
      <c r="F478" s="3">
        <v>490433</v>
      </c>
      <c r="G478" s="3" t="s">
        <v>22</v>
      </c>
      <c r="H478" s="3" t="s">
        <v>26</v>
      </c>
      <c r="I478" s="3">
        <v>448</v>
      </c>
      <c r="J478" s="5" t="s">
        <v>32</v>
      </c>
      <c r="K478" s="3" t="str">
        <f t="shared" si="7"/>
        <v>Medium Income</v>
      </c>
    </row>
    <row r="479" spans="1:11" x14ac:dyDescent="0.35">
      <c r="A479" s="4">
        <v>478</v>
      </c>
      <c r="B479" s="3" t="s">
        <v>501</v>
      </c>
      <c r="C479" s="3" t="s">
        <v>17</v>
      </c>
      <c r="D479" s="3" t="s">
        <v>12</v>
      </c>
      <c r="E479" s="3">
        <v>81097</v>
      </c>
      <c r="F479" s="3">
        <v>346556</v>
      </c>
      <c r="G479" s="3" t="s">
        <v>22</v>
      </c>
      <c r="H479" s="3" t="s">
        <v>19</v>
      </c>
      <c r="I479" s="3">
        <v>510</v>
      </c>
      <c r="J479" s="5" t="s">
        <v>24</v>
      </c>
      <c r="K479" s="3" t="str">
        <f t="shared" si="7"/>
        <v>High Income</v>
      </c>
    </row>
    <row r="480" spans="1:11" x14ac:dyDescent="0.35">
      <c r="A480" s="4">
        <v>479</v>
      </c>
      <c r="B480" s="3" t="s">
        <v>502</v>
      </c>
      <c r="C480" s="3" t="s">
        <v>11</v>
      </c>
      <c r="D480" s="3" t="s">
        <v>12</v>
      </c>
      <c r="E480" s="3">
        <v>22640</v>
      </c>
      <c r="F480" s="3">
        <v>151523</v>
      </c>
      <c r="G480" s="3" t="s">
        <v>13</v>
      </c>
      <c r="H480" s="3" t="s">
        <v>19</v>
      </c>
      <c r="I480" s="3">
        <v>830</v>
      </c>
      <c r="J480" s="5" t="s">
        <v>15</v>
      </c>
      <c r="K480" s="3" t="str">
        <f t="shared" si="7"/>
        <v>Low Income</v>
      </c>
    </row>
    <row r="481" spans="1:11" x14ac:dyDescent="0.35">
      <c r="A481" s="4">
        <v>480</v>
      </c>
      <c r="B481" s="3" t="s">
        <v>503</v>
      </c>
      <c r="C481" s="3" t="s">
        <v>11</v>
      </c>
      <c r="D481" s="3" t="s">
        <v>12</v>
      </c>
      <c r="E481" s="3">
        <v>22575</v>
      </c>
      <c r="F481" s="3">
        <v>223490</v>
      </c>
      <c r="G481" s="3" t="s">
        <v>13</v>
      </c>
      <c r="H481" s="3" t="s">
        <v>23</v>
      </c>
      <c r="I481" s="3">
        <v>383</v>
      </c>
      <c r="J481" s="5" t="s">
        <v>32</v>
      </c>
      <c r="K481" s="3" t="str">
        <f t="shared" si="7"/>
        <v>Low Income</v>
      </c>
    </row>
    <row r="482" spans="1:11" x14ac:dyDescent="0.35">
      <c r="A482" s="4">
        <v>481</v>
      </c>
      <c r="B482" s="3" t="s">
        <v>504</v>
      </c>
      <c r="C482" s="3" t="s">
        <v>17</v>
      </c>
      <c r="D482" s="3" t="s">
        <v>18</v>
      </c>
      <c r="E482" s="3">
        <v>81098</v>
      </c>
      <c r="F482" s="3">
        <v>49936</v>
      </c>
      <c r="G482" s="3" t="s">
        <v>13</v>
      </c>
      <c r="H482" s="3" t="s">
        <v>14</v>
      </c>
      <c r="I482" s="3">
        <v>658</v>
      </c>
      <c r="J482" s="5" t="s">
        <v>15</v>
      </c>
      <c r="K482" s="3" t="str">
        <f t="shared" si="7"/>
        <v>High Income</v>
      </c>
    </row>
    <row r="483" spans="1:11" x14ac:dyDescent="0.35">
      <c r="A483" s="4">
        <v>482</v>
      </c>
      <c r="B483" s="3" t="s">
        <v>505</v>
      </c>
      <c r="C483" s="3" t="s">
        <v>17</v>
      </c>
      <c r="D483" s="3" t="s">
        <v>12</v>
      </c>
      <c r="E483" s="3">
        <v>41518</v>
      </c>
      <c r="F483" s="3">
        <v>33372</v>
      </c>
      <c r="G483" s="3" t="s">
        <v>22</v>
      </c>
      <c r="H483" s="3" t="s">
        <v>14</v>
      </c>
      <c r="I483" s="3">
        <v>748</v>
      </c>
      <c r="J483" s="5" t="s">
        <v>15</v>
      </c>
      <c r="K483" s="3" t="str">
        <f t="shared" si="7"/>
        <v>Low Income</v>
      </c>
    </row>
    <row r="484" spans="1:11" x14ac:dyDescent="0.35">
      <c r="A484" s="4">
        <v>483</v>
      </c>
      <c r="B484" s="3" t="s">
        <v>506</v>
      </c>
      <c r="C484" s="3" t="s">
        <v>11</v>
      </c>
      <c r="D484" s="3" t="s">
        <v>21</v>
      </c>
      <c r="E484" s="3">
        <v>29544</v>
      </c>
      <c r="F484" s="3">
        <v>31459</v>
      </c>
      <c r="G484" s="3" t="s">
        <v>22</v>
      </c>
      <c r="H484" s="3" t="s">
        <v>14</v>
      </c>
      <c r="I484" s="3">
        <v>845</v>
      </c>
      <c r="J484" s="5" t="s">
        <v>32</v>
      </c>
      <c r="K484" s="3" t="str">
        <f t="shared" si="7"/>
        <v>Low Income</v>
      </c>
    </row>
    <row r="485" spans="1:11" x14ac:dyDescent="0.35">
      <c r="A485" s="4">
        <v>484</v>
      </c>
      <c r="B485" s="3" t="s">
        <v>507</v>
      </c>
      <c r="C485" s="3" t="s">
        <v>17</v>
      </c>
      <c r="D485" s="3" t="s">
        <v>18</v>
      </c>
      <c r="E485" s="3">
        <v>69334</v>
      </c>
      <c r="F485" s="3">
        <v>11616</v>
      </c>
      <c r="G485" s="3" t="s">
        <v>22</v>
      </c>
      <c r="H485" s="3" t="s">
        <v>19</v>
      </c>
      <c r="I485" s="3">
        <v>342</v>
      </c>
      <c r="J485" s="5" t="s">
        <v>15</v>
      </c>
      <c r="K485" s="3" t="str">
        <f t="shared" si="7"/>
        <v>Medium Income</v>
      </c>
    </row>
    <row r="486" spans="1:11" x14ac:dyDescent="0.35">
      <c r="A486" s="4">
        <v>485</v>
      </c>
      <c r="B486" s="3" t="s">
        <v>508</v>
      </c>
      <c r="C486" s="3" t="s">
        <v>17</v>
      </c>
      <c r="D486" s="3" t="s">
        <v>18</v>
      </c>
      <c r="E486" s="3">
        <v>102570</v>
      </c>
      <c r="F486" s="3">
        <v>478667</v>
      </c>
      <c r="G486" s="3" t="s">
        <v>13</v>
      </c>
      <c r="H486" s="3" t="s">
        <v>23</v>
      </c>
      <c r="I486" s="3">
        <v>420</v>
      </c>
      <c r="J486" s="5" t="s">
        <v>24</v>
      </c>
      <c r="K486" s="3" t="str">
        <f t="shared" si="7"/>
        <v>High Income</v>
      </c>
    </row>
    <row r="487" spans="1:11" x14ac:dyDescent="0.35">
      <c r="A487" s="4">
        <v>486</v>
      </c>
      <c r="B487" s="3" t="s">
        <v>509</v>
      </c>
      <c r="C487" s="3" t="s">
        <v>17</v>
      </c>
      <c r="D487" s="3" t="s">
        <v>12</v>
      </c>
      <c r="E487" s="3">
        <v>63379</v>
      </c>
      <c r="F487" s="3">
        <v>285779</v>
      </c>
      <c r="G487" s="3" t="s">
        <v>22</v>
      </c>
      <c r="H487" s="3" t="s">
        <v>14</v>
      </c>
      <c r="I487" s="3">
        <v>740</v>
      </c>
      <c r="J487" s="5" t="s">
        <v>15</v>
      </c>
      <c r="K487" s="3" t="str">
        <f t="shared" si="7"/>
        <v>Medium Income</v>
      </c>
    </row>
    <row r="488" spans="1:11" x14ac:dyDescent="0.35">
      <c r="A488" s="4">
        <v>487</v>
      </c>
      <c r="B488" s="3" t="s">
        <v>510</v>
      </c>
      <c r="C488" s="3" t="s">
        <v>17</v>
      </c>
      <c r="D488" s="3" t="s">
        <v>12</v>
      </c>
      <c r="E488" s="3">
        <v>102578</v>
      </c>
      <c r="F488" s="3">
        <v>364442</v>
      </c>
      <c r="G488" s="3" t="s">
        <v>22</v>
      </c>
      <c r="H488" s="3" t="s">
        <v>26</v>
      </c>
      <c r="I488" s="3">
        <v>710</v>
      </c>
      <c r="J488" s="5" t="s">
        <v>15</v>
      </c>
      <c r="K488" s="3" t="str">
        <f t="shared" si="7"/>
        <v>High Income</v>
      </c>
    </row>
    <row r="489" spans="1:11" x14ac:dyDescent="0.35">
      <c r="A489" s="4">
        <v>488</v>
      </c>
      <c r="B489" s="3" t="s">
        <v>511</v>
      </c>
      <c r="C489" s="3" t="s">
        <v>11</v>
      </c>
      <c r="D489" s="3" t="s">
        <v>18</v>
      </c>
      <c r="E489" s="3">
        <v>68522</v>
      </c>
      <c r="F489" s="3">
        <v>362800</v>
      </c>
      <c r="G489" s="3" t="s">
        <v>22</v>
      </c>
      <c r="H489" s="3" t="s">
        <v>23</v>
      </c>
      <c r="I489" s="3">
        <v>366</v>
      </c>
      <c r="J489" s="5" t="s">
        <v>15</v>
      </c>
      <c r="K489" s="3" t="str">
        <f t="shared" si="7"/>
        <v>Medium Income</v>
      </c>
    </row>
    <row r="490" spans="1:11" x14ac:dyDescent="0.35">
      <c r="A490" s="4">
        <v>489</v>
      </c>
      <c r="B490" s="3" t="s">
        <v>512</v>
      </c>
      <c r="C490" s="3" t="s">
        <v>11</v>
      </c>
      <c r="D490" s="3" t="s">
        <v>12</v>
      </c>
      <c r="E490" s="3">
        <v>115761</v>
      </c>
      <c r="F490" s="3">
        <v>436203</v>
      </c>
      <c r="G490" s="3" t="s">
        <v>22</v>
      </c>
      <c r="H490" s="3" t="s">
        <v>26</v>
      </c>
      <c r="I490" s="3">
        <v>893</v>
      </c>
      <c r="J490" s="5" t="s">
        <v>24</v>
      </c>
      <c r="K490" s="3" t="str">
        <f t="shared" si="7"/>
        <v>High Income</v>
      </c>
    </row>
    <row r="491" spans="1:11" x14ac:dyDescent="0.35">
      <c r="A491" s="4">
        <v>490</v>
      </c>
      <c r="B491" s="3" t="s">
        <v>513</v>
      </c>
      <c r="C491" s="3" t="s">
        <v>17</v>
      </c>
      <c r="D491" s="3" t="s">
        <v>12</v>
      </c>
      <c r="E491" s="3">
        <v>89149</v>
      </c>
      <c r="F491" s="3">
        <v>61251</v>
      </c>
      <c r="G491" s="3" t="s">
        <v>13</v>
      </c>
      <c r="H491" s="3" t="s">
        <v>14</v>
      </c>
      <c r="I491" s="3">
        <v>690</v>
      </c>
      <c r="J491" s="5" t="s">
        <v>32</v>
      </c>
      <c r="K491" s="3" t="str">
        <f t="shared" si="7"/>
        <v>High Income</v>
      </c>
    </row>
    <row r="492" spans="1:11" x14ac:dyDescent="0.35">
      <c r="A492" s="4">
        <v>491</v>
      </c>
      <c r="B492" s="3" t="s">
        <v>514</v>
      </c>
      <c r="C492" s="3" t="s">
        <v>17</v>
      </c>
      <c r="D492" s="3" t="s">
        <v>18</v>
      </c>
      <c r="E492" s="3">
        <v>34421</v>
      </c>
      <c r="F492" s="3">
        <v>499413</v>
      </c>
      <c r="G492" s="3" t="s">
        <v>22</v>
      </c>
      <c r="H492" s="3" t="s">
        <v>19</v>
      </c>
      <c r="I492" s="3">
        <v>814</v>
      </c>
      <c r="J492" s="5" t="s">
        <v>15</v>
      </c>
      <c r="K492" s="3" t="str">
        <f t="shared" si="7"/>
        <v>Low Income</v>
      </c>
    </row>
    <row r="493" spans="1:11" x14ac:dyDescent="0.35">
      <c r="A493" s="4">
        <v>492</v>
      </c>
      <c r="B493" s="3" t="s">
        <v>515</v>
      </c>
      <c r="C493" s="3" t="s">
        <v>11</v>
      </c>
      <c r="D493" s="3" t="s">
        <v>12</v>
      </c>
      <c r="E493" s="3">
        <v>87225</v>
      </c>
      <c r="F493" s="3">
        <v>297447</v>
      </c>
      <c r="G493" s="3" t="s">
        <v>22</v>
      </c>
      <c r="H493" s="3" t="s">
        <v>19</v>
      </c>
      <c r="I493" s="3">
        <v>519</v>
      </c>
      <c r="J493" s="5" t="s">
        <v>15</v>
      </c>
      <c r="K493" s="3" t="str">
        <f t="shared" si="7"/>
        <v>High Income</v>
      </c>
    </row>
    <row r="494" spans="1:11" x14ac:dyDescent="0.35">
      <c r="A494" s="4">
        <v>493</v>
      </c>
      <c r="B494" s="3" t="s">
        <v>516</v>
      </c>
      <c r="C494" s="3" t="s">
        <v>17</v>
      </c>
      <c r="D494" s="3" t="s">
        <v>21</v>
      </c>
      <c r="E494" s="3">
        <v>85297</v>
      </c>
      <c r="F494" s="3">
        <v>20454</v>
      </c>
      <c r="G494" s="3" t="s">
        <v>22</v>
      </c>
      <c r="H494" s="3" t="s">
        <v>14</v>
      </c>
      <c r="I494" s="3">
        <v>789</v>
      </c>
      <c r="J494" s="5" t="s">
        <v>24</v>
      </c>
      <c r="K494" s="3" t="str">
        <f t="shared" si="7"/>
        <v>High Income</v>
      </c>
    </row>
    <row r="495" spans="1:11" x14ac:dyDescent="0.35">
      <c r="A495" s="4">
        <v>494</v>
      </c>
      <c r="B495" s="3" t="s">
        <v>517</v>
      </c>
      <c r="C495" s="3" t="s">
        <v>17</v>
      </c>
      <c r="D495" s="3" t="s">
        <v>21</v>
      </c>
      <c r="E495" s="3">
        <v>81164</v>
      </c>
      <c r="F495" s="3">
        <v>457649</v>
      </c>
      <c r="G495" s="3" t="s">
        <v>22</v>
      </c>
      <c r="H495" s="3" t="s">
        <v>26</v>
      </c>
      <c r="I495" s="3">
        <v>358</v>
      </c>
      <c r="J495" s="5" t="s">
        <v>24</v>
      </c>
      <c r="K495" s="3" t="str">
        <f t="shared" si="7"/>
        <v>High Income</v>
      </c>
    </row>
    <row r="496" spans="1:11" x14ac:dyDescent="0.35">
      <c r="A496" s="4">
        <v>495</v>
      </c>
      <c r="B496" s="3" t="s">
        <v>518</v>
      </c>
      <c r="C496" s="3" t="s">
        <v>11</v>
      </c>
      <c r="D496" s="3" t="s">
        <v>12</v>
      </c>
      <c r="E496" s="3">
        <v>62727</v>
      </c>
      <c r="F496" s="3">
        <v>8500</v>
      </c>
      <c r="G496" s="3" t="s">
        <v>22</v>
      </c>
      <c r="H496" s="3" t="s">
        <v>26</v>
      </c>
      <c r="I496" s="3">
        <v>800</v>
      </c>
      <c r="J496" s="5" t="s">
        <v>15</v>
      </c>
      <c r="K496" s="3" t="str">
        <f t="shared" si="7"/>
        <v>Medium Income</v>
      </c>
    </row>
    <row r="497" spans="1:11" x14ac:dyDescent="0.35">
      <c r="A497" s="4">
        <v>496</v>
      </c>
      <c r="B497" s="3" t="s">
        <v>519</v>
      </c>
      <c r="C497" s="3" t="s">
        <v>17</v>
      </c>
      <c r="D497" s="3" t="s">
        <v>18</v>
      </c>
      <c r="E497" s="3">
        <v>41137</v>
      </c>
      <c r="F497" s="3">
        <v>251973</v>
      </c>
      <c r="G497" s="3" t="s">
        <v>13</v>
      </c>
      <c r="H497" s="3" t="s">
        <v>19</v>
      </c>
      <c r="I497" s="3">
        <v>635</v>
      </c>
      <c r="J497" s="5" t="s">
        <v>32</v>
      </c>
      <c r="K497" s="3" t="str">
        <f t="shared" si="7"/>
        <v>Low Income</v>
      </c>
    </row>
    <row r="498" spans="1:11" x14ac:dyDescent="0.35">
      <c r="A498" s="4">
        <v>497</v>
      </c>
      <c r="B498" s="3" t="s">
        <v>520</v>
      </c>
      <c r="C498" s="3" t="s">
        <v>11</v>
      </c>
      <c r="D498" s="3" t="s">
        <v>18</v>
      </c>
      <c r="E498" s="3">
        <v>52747</v>
      </c>
      <c r="F498" s="3">
        <v>373830</v>
      </c>
      <c r="G498" s="3" t="s">
        <v>13</v>
      </c>
      <c r="H498" s="3" t="s">
        <v>23</v>
      </c>
      <c r="I498" s="3">
        <v>879</v>
      </c>
      <c r="J498" s="5" t="s">
        <v>32</v>
      </c>
      <c r="K498" s="3" t="str">
        <f t="shared" si="7"/>
        <v>Medium Income</v>
      </c>
    </row>
    <row r="499" spans="1:11" x14ac:dyDescent="0.35">
      <c r="A499" s="4">
        <v>498</v>
      </c>
      <c r="B499" s="3" t="s">
        <v>521</v>
      </c>
      <c r="C499" s="3" t="s">
        <v>11</v>
      </c>
      <c r="D499" s="3" t="s">
        <v>18</v>
      </c>
      <c r="E499" s="3">
        <v>110180</v>
      </c>
      <c r="F499" s="3">
        <v>279618</v>
      </c>
      <c r="G499" s="3" t="s">
        <v>13</v>
      </c>
      <c r="H499" s="3" t="s">
        <v>14</v>
      </c>
      <c r="I499" s="3">
        <v>695</v>
      </c>
      <c r="J499" s="5" t="s">
        <v>15</v>
      </c>
      <c r="K499" s="3" t="str">
        <f t="shared" si="7"/>
        <v>High Income</v>
      </c>
    </row>
    <row r="500" spans="1:11" x14ac:dyDescent="0.35">
      <c r="A500" s="4">
        <v>499</v>
      </c>
      <c r="B500" s="3" t="s">
        <v>522</v>
      </c>
      <c r="C500" s="3" t="s">
        <v>11</v>
      </c>
      <c r="D500" s="3" t="s">
        <v>18</v>
      </c>
      <c r="E500" s="3">
        <v>77454</v>
      </c>
      <c r="F500" s="3">
        <v>153938</v>
      </c>
      <c r="G500" s="3" t="s">
        <v>22</v>
      </c>
      <c r="H500" s="3" t="s">
        <v>14</v>
      </c>
      <c r="I500" s="3">
        <v>491</v>
      </c>
      <c r="J500" s="5" t="s">
        <v>15</v>
      </c>
      <c r="K500" s="3" t="str">
        <f t="shared" si="7"/>
        <v>Medium Income</v>
      </c>
    </row>
    <row r="501" spans="1:11" x14ac:dyDescent="0.35">
      <c r="A501" s="9">
        <v>500</v>
      </c>
      <c r="B501" s="10" t="s">
        <v>523</v>
      </c>
      <c r="C501" s="10" t="s">
        <v>17</v>
      </c>
      <c r="D501" s="10" t="s">
        <v>12</v>
      </c>
      <c r="E501" s="10">
        <v>77587</v>
      </c>
      <c r="F501" s="10">
        <v>330953</v>
      </c>
      <c r="G501" s="10" t="s">
        <v>13</v>
      </c>
      <c r="H501" s="10" t="s">
        <v>14</v>
      </c>
      <c r="I501" s="10">
        <v>601</v>
      </c>
      <c r="J501" s="11" t="s">
        <v>24</v>
      </c>
      <c r="K501" s="10" t="str">
        <f t="shared" si="7"/>
        <v>Medium Income</v>
      </c>
    </row>
  </sheetData>
  <conditionalFormatting sqref="K1:K501">
    <cfRule type="containsText" dxfId="18" priority="5" operator="containsText" text="Audrey Russell">
      <formula>NOT(ISERROR(SEARCH("Audrey Russell",K1)))</formula>
    </cfRule>
    <cfRule type="containsText" dxfId="17" priority="6" operator="containsText" text="Patricia Nielsen">
      <formula>NOT(ISERROR(SEARCH("Patricia Nielsen",K1)))</formula>
    </cfRule>
    <cfRule type="containsText" dxfId="16" priority="7" operator="containsText" text="Patricia Nielsen">
      <formula>NOT(ISERROR(SEARCH("Patricia Nielsen",K1)))</formula>
    </cfRule>
    <cfRule type="containsText" dxfId="15" priority="8" operator="containsText" text="Audrey Russell">
      <formula>NOT(ISERROR(SEARCH("Audrey Russell",K1)))</formula>
    </cfRule>
    <cfRule type="containsText" dxfId="14" priority="9" operator="containsText" text="Dr. Luis Adams">
      <formula>NOT(ISERROR(SEARCH("Dr. Luis Adams",K1)))</formula>
    </cfRule>
    <cfRule type="containsText" dxfId="13" priority="10" operator="containsText" text="Mrs. Molly Jones MD">
      <formula>NOT(ISERROR(SEARCH("Mrs. Molly Jones MD",K1)))</formula>
    </cfRule>
  </conditionalFormatting>
  <conditionalFormatting sqref="K1:K1048576">
    <cfRule type="containsText" dxfId="0" priority="4" operator="containsText" text="High Income">
      <formula>NOT(ISERROR(SEARCH("High Income",K1)))</formula>
    </cfRule>
    <cfRule type="containsText" dxfId="1" priority="3" operator="containsText" text="Medium Income">
      <formula>NOT(ISERROR(SEARCH("Medium Income",K1)))</formula>
    </cfRule>
    <cfRule type="containsText" dxfId="2" priority="2" operator="containsText" text="Low Income">
      <formula>NOT(ISERROR(SEARCH("Low Income",K1)))</formula>
    </cfRule>
    <cfRule type="containsText" dxfId="3" priority="1" operator="containsText" text="Low Income">
      <formula>NOT(ISERROR(SEARCH("Low Income",K1)))</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0AF0A-1EB3-4D32-9013-58B5434ED838}">
  <dimension ref="B1:R10"/>
  <sheetViews>
    <sheetView showGridLines="0" workbookViewId="0">
      <selection activeCell="F17" sqref="F17"/>
    </sheetView>
  </sheetViews>
  <sheetFormatPr defaultRowHeight="14.5" x14ac:dyDescent="0.35"/>
  <cols>
    <col min="1" max="1" width="4.1796875" customWidth="1"/>
    <col min="2" max="2" width="16.08984375" bestFit="1" customWidth="1"/>
    <col min="3" max="3" width="11.6328125" bestFit="1" customWidth="1"/>
    <col min="4" max="4" width="1.81640625" customWidth="1"/>
    <col min="5" max="5" width="13.1796875" bestFit="1" customWidth="1"/>
    <col min="6" max="6" width="19.81640625" bestFit="1" customWidth="1"/>
    <col min="11" max="11" width="7.90625" customWidth="1"/>
  </cols>
  <sheetData>
    <row r="1" spans="2:18" ht="20" x14ac:dyDescent="0.4">
      <c r="C1" s="25" t="s">
        <v>538</v>
      </c>
      <c r="D1" s="24"/>
      <c r="E1" s="24"/>
      <c r="F1" s="24"/>
      <c r="G1" s="24"/>
      <c r="H1" s="24"/>
      <c r="I1" s="24"/>
      <c r="J1" s="24"/>
      <c r="K1" s="24"/>
      <c r="L1" s="24"/>
      <c r="M1" s="24"/>
      <c r="N1" s="24"/>
      <c r="O1" s="24"/>
      <c r="P1" s="24"/>
      <c r="Q1" s="24"/>
    </row>
    <row r="3" spans="2:18" ht="17.5" x14ac:dyDescent="0.35">
      <c r="B3" s="23" t="s">
        <v>534</v>
      </c>
      <c r="C3" s="24"/>
      <c r="E3" s="23" t="s">
        <v>535</v>
      </c>
      <c r="F3" s="24"/>
      <c r="G3" s="23" t="s">
        <v>536</v>
      </c>
      <c r="H3" s="24"/>
      <c r="I3" s="24"/>
      <c r="J3" s="24"/>
      <c r="K3" s="24"/>
      <c r="L3" s="23" t="s">
        <v>537</v>
      </c>
      <c r="M3" s="24"/>
      <c r="N3" s="24"/>
      <c r="O3" s="24"/>
      <c r="P3" s="24"/>
      <c r="Q3" s="24"/>
      <c r="R3" s="24"/>
    </row>
    <row r="5" spans="2:18" ht="16.5" x14ac:dyDescent="0.35">
      <c r="B5" s="17" t="s">
        <v>532</v>
      </c>
      <c r="C5" s="17" t="s">
        <v>533</v>
      </c>
      <c r="E5" s="18" t="s">
        <v>524</v>
      </c>
      <c r="F5" s="19" t="s">
        <v>526</v>
      </c>
    </row>
    <row r="6" spans="2:18" ht="15.5" x14ac:dyDescent="0.35">
      <c r="B6" s="22" t="s">
        <v>528</v>
      </c>
      <c r="C6" s="22">
        <f>SUM(Bank_Loan_Analysis_Dataset.xlsx!F:F)</f>
        <v>127195170</v>
      </c>
      <c r="E6" s="20" t="s">
        <v>23</v>
      </c>
      <c r="F6" s="21">
        <v>33788798</v>
      </c>
    </row>
    <row r="7" spans="2:18" ht="15.5" x14ac:dyDescent="0.35">
      <c r="B7" s="22" t="s">
        <v>529</v>
      </c>
      <c r="C7" s="22">
        <f>AVERAGE(Bank_Loan_Analysis_Dataset.xlsx!E:E)</f>
        <v>69538.741999999998</v>
      </c>
      <c r="E7" s="20" t="s">
        <v>19</v>
      </c>
      <c r="F7" s="21">
        <v>30510863</v>
      </c>
    </row>
    <row r="8" spans="2:18" ht="15.5" x14ac:dyDescent="0.35">
      <c r="B8" s="22" t="s">
        <v>530</v>
      </c>
      <c r="C8" s="22">
        <f>COUNTIF(Bank_Loan_Analysis_Dataset.xlsx!G:G,"Approved")</f>
        <v>250</v>
      </c>
      <c r="E8" s="20" t="s">
        <v>14</v>
      </c>
      <c r="F8" s="21">
        <v>30948919</v>
      </c>
    </row>
    <row r="9" spans="2:18" ht="15.5" x14ac:dyDescent="0.35">
      <c r="B9" s="22" t="s">
        <v>531</v>
      </c>
      <c r="C9" s="22">
        <f>COUNTA(Bank_Loan_Analysis_Dataset.xlsx!B:B)-1</f>
        <v>500</v>
      </c>
      <c r="E9" s="20" t="s">
        <v>26</v>
      </c>
      <c r="F9" s="21">
        <v>31946590</v>
      </c>
    </row>
    <row r="10" spans="2:18" ht="15.5" x14ac:dyDescent="0.35">
      <c r="E10" s="20" t="s">
        <v>525</v>
      </c>
      <c r="F10" s="21">
        <v>127195170</v>
      </c>
    </row>
  </sheetData>
  <mergeCells count="5">
    <mergeCell ref="B3:C3"/>
    <mergeCell ref="E3:F3"/>
    <mergeCell ref="G3:K3"/>
    <mergeCell ref="L3:R3"/>
    <mergeCell ref="C1:Q1"/>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Loan Amount Trend Analysis</vt:lpstr>
      <vt:lpstr>Bank_Loan_Analysis_Dataset.xlsx</vt:lpstr>
      <vt:lpstr>Review or Eligible</vt:lpstr>
      <vt:lpstr>Income Category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Kruthika M Patil</dc:creator>
  <cp:lastModifiedBy>Kruthika M Patil</cp:lastModifiedBy>
  <cp:lastPrinted>2026-06-02T12:46:04Z</cp:lastPrinted>
  <dcterms:created xsi:type="dcterms:W3CDTF">2026-06-02T11:03:33Z</dcterms:created>
  <dcterms:modified xsi:type="dcterms:W3CDTF">2026-06-05T10:58:20Z</dcterms:modified>
</cp:coreProperties>
</file>